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faltynowski/Documents/Repositories/alior-ing-stock-analysis/src/03_exploratory_data_analysis/"/>
    </mc:Choice>
  </mc:AlternateContent>
  <xr:revisionPtr revIDLastSave="0" documentId="13_ncr:1_{3DA97B49-67BF-4E40-92D2-6F73BE1CAEB1}" xr6:coauthVersionLast="47" xr6:coauthVersionMax="47" xr10:uidLastSave="{00000000-0000-0000-0000-000000000000}"/>
  <bookViews>
    <workbookView xWindow="0" yWindow="500" windowWidth="28800" windowHeight="15940" activeTab="1" xr2:uid="{404A6935-CA3E-0848-B5D4-1B65F9F1EE15}"/>
  </bookViews>
  <sheets>
    <sheet name="int_data" sheetId="2" r:id="rId1"/>
    <sheet name="alior" sheetId="1" r:id="rId2"/>
    <sheet name="ing" sheetId="3" r:id="rId3"/>
  </sheets>
  <definedNames>
    <definedName name="_xlchart.v1.0" hidden="1">alior!$A$3:$A$25</definedName>
    <definedName name="_xlchart.v1.1" hidden="1">alior!$C$1</definedName>
    <definedName name="_xlchart.v1.2" hidden="1">alior!$C$3:$C$25</definedName>
    <definedName name="_xlchart.v1.3" hidden="1">ing!$A$3:$A$25</definedName>
    <definedName name="_xlchart.v1.4" hidden="1">ing!$C$1</definedName>
    <definedName name="_xlchart.v1.5" hidden="1">ing!$C$3:$C$25</definedName>
    <definedName name="ExternalData_1" localSheetId="0" hidden="1">int_data!$A$1:$D$732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3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" i="1"/>
  <c r="B3" i="3"/>
  <c r="B11" i="3"/>
  <c r="B19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2" i="2"/>
  <c r="B4" i="3" s="1"/>
  <c r="C4" i="3" l="1"/>
  <c r="B2" i="3"/>
  <c r="C3" i="3" s="1"/>
  <c r="B18" i="3"/>
  <c r="C19" i="3" s="1"/>
  <c r="B10" i="3"/>
  <c r="C11" i="3" s="1"/>
  <c r="B25" i="3"/>
  <c r="B17" i="3"/>
  <c r="B9" i="3"/>
  <c r="B24" i="3"/>
  <c r="B16" i="3"/>
  <c r="C17" i="3" s="1"/>
  <c r="B8" i="3"/>
  <c r="C9" i="3" s="1"/>
  <c r="B23" i="3"/>
  <c r="C24" i="3" s="1"/>
  <c r="B15" i="3"/>
  <c r="C16" i="3" s="1"/>
  <c r="B7" i="3"/>
  <c r="C8" i="3" s="1"/>
  <c r="B22" i="3"/>
  <c r="C23" i="3" s="1"/>
  <c r="B14" i="3"/>
  <c r="C15" i="3" s="1"/>
  <c r="B6" i="3"/>
  <c r="C7" i="3" s="1"/>
  <c r="B21" i="3"/>
  <c r="B13" i="3"/>
  <c r="B5" i="3"/>
  <c r="C6" i="3" s="1"/>
  <c r="B20" i="3"/>
  <c r="C21" i="3" s="1"/>
  <c r="B12" i="3"/>
  <c r="C13" i="3" s="1"/>
  <c r="C14" i="3" l="1"/>
  <c r="C22" i="3"/>
  <c r="C25" i="3"/>
  <c r="C12" i="3"/>
  <c r="C10" i="3"/>
  <c r="C20" i="3"/>
  <c r="C18" i="3"/>
  <c r="C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1FD21B-1E40-9547-92EC-107FF77E71BE}" keepAlive="1" name="Query - int_data" description="Connection to the 'int_data' query in the workbook." type="5" refreshedVersion="8" background="1" saveData="1">
    <dbPr connection="Provider=Microsoft.Mashup.OleDb.1;Data Source=$Workbook$;Location=int_data;Extended Properties=&quot;&quot;" command="SELECT * FROM [int_data]"/>
  </connection>
</connections>
</file>

<file path=xl/sharedStrings.xml><?xml version="1.0" encoding="utf-8"?>
<sst xmlns="http://schemas.openxmlformats.org/spreadsheetml/2006/main" count="58" uniqueCount="30">
  <si>
    <t>date</t>
  </si>
  <si>
    <t>closes_alior</t>
  </si>
  <si>
    <t>closes_ing</t>
  </si>
  <si>
    <t>return</t>
  </si>
  <si>
    <t>2023-1</t>
  </si>
  <si>
    <t>2023-2</t>
  </si>
  <si>
    <t>2023-3</t>
  </si>
  <si>
    <t>2023-4</t>
  </si>
  <si>
    <t>2023-5</t>
  </si>
  <si>
    <t>2023-6</t>
  </si>
  <si>
    <t>2023-7</t>
  </si>
  <si>
    <t>2023-8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</si>
  <si>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</si>
  <si>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</si>
  <si>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</si>
  <si>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</si>
  <si>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</si>
  <si>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</si>
  <si>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</si>
  <si>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</si>
  <si>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</si>
  <si>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</si>
  <si>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</si>
  <si>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</si>
  <si>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</si>
  <si>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>2024-10</t>
  </si>
  <si>
    <t>2024-11</t>
  </si>
  <si>
    <t>2024-12</t>
  </si>
  <si>
    <t>yyyy-mm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</si>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</sst>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"/>
  </numFmts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6">
    <dxf>
      <numFmt numFmtId="164" formatCode="0.0%"/>
    </dxf>
    <dxf>
      <numFmt numFmtId="165" formatCode="0.0000"/>
    </dxf>
    <dxf>
      <numFmt numFmtId="164" formatCode="0.0%"/>
    </dxf>
    <dxf>
      <numFmt numFmtId="165" formatCode="0.0000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rich>
          <a:bodyPr vertOverflow="overflow" horzOverflow="overflow" wrap="square" lIns="0" tIns="0" rIns="0" bIns="0"/>
          <a:lstStyle/>
          <a:p>
            <a:pPr algn="ctr" rtl="0">
              <a:defRPr sz="2400" b="0" i="0">
                <a:solidFill>
                  <a:schemeClr val="tx1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r>
              <a:rPr lang="en-GB" sz="2400" b="0" i="0" u="none" strike="noStrike" baseline="0">
                <a:solidFill>
                  <a:schemeClr val="tx1"/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Alior Bank recorded a </a:t>
            </a:r>
            <a:r>
              <a:rPr lang="en-GB" sz="2400" b="1" i="0" u="none" strike="noStrike" baseline="0">
                <a:solidFill>
                  <a:schemeClr val="tx1"/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significant increase</a:t>
            </a:r>
            <a:r>
              <a:rPr lang="en-GB" sz="2400" b="0" i="0" u="none" strike="noStrike" baseline="0">
                <a:solidFill>
                  <a:schemeClr val="tx1"/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 in closing stock prices at the turn of 2023 and 2024</a:t>
            </a:r>
            <a:endParaRPr lang="en-GB" sz="2400">
              <a:solidFill>
                <a:schemeClr val="tx1"/>
              </a:solidFill>
            </a:endParaRPr>
          </a:p>
        </cx:rich>
      </cx:tx>
    </cx:title>
    <cx:plotArea>
      <cx:plotAreaRegion>
        <cx:series layoutId="waterfall" uniqueId="{D3B51730-E34B-CF4D-B1EA-1ECCA88A9C19}">
          <cx:tx>
            <cx:txData>
              <cx:f>_xlchart.v1.1</cx:f>
              <cx:v>return</cx:v>
            </cx:txData>
          </cx:tx>
          <cx:dataPt idx="0">
            <cx:spPr>
              <a:solidFill>
                <a:srgbClr val="FF0000"/>
              </a:solidFill>
            </cx:spPr>
          </cx:dataPt>
          <cx:dataPt idx="1">
            <cx:spPr>
              <a:solidFill>
                <a:srgbClr val="FF0000"/>
              </a:solidFill>
            </cx:spPr>
          </cx:dataPt>
          <cx:dataPt idx="2">
            <cx:spPr>
              <a:solidFill>
                <a:srgbClr val="4EA72E"/>
              </a:solidFill>
            </cx:spPr>
          </cx:dataPt>
          <cx:dataPt idx="3">
            <cx:spPr>
              <a:solidFill>
                <a:srgbClr val="4EA72E"/>
              </a:solidFill>
            </cx:spPr>
          </cx:dataPt>
          <cx:dataPt idx="4">
            <cx:spPr>
              <a:solidFill>
                <a:srgbClr val="4EA72E"/>
              </a:solidFill>
            </cx:spPr>
          </cx:dataPt>
          <cx:dataPt idx="5">
            <cx:spPr>
              <a:solidFill>
                <a:srgbClr val="4EA72E"/>
              </a:solidFill>
            </cx:spPr>
          </cx:dataPt>
          <cx:dataPt idx="6">
            <cx:spPr>
              <a:solidFill>
                <a:srgbClr val="FF0000"/>
              </a:solidFill>
            </cx:spPr>
          </cx:dataPt>
          <cx:dataPt idx="7">
            <cx:spPr>
              <a:solidFill>
                <a:srgbClr val="4EA72E"/>
              </a:solidFill>
            </cx:spPr>
          </cx:dataPt>
          <cx:dataPt idx="8">
            <cx:spPr>
              <a:solidFill>
                <a:srgbClr val="4EA72E"/>
              </a:solidFill>
            </cx:spPr>
          </cx:dataPt>
          <cx:dataPt idx="9">
            <cx:spPr>
              <a:solidFill>
                <a:srgbClr val="FF0000"/>
              </a:solidFill>
            </cx:spPr>
          </cx:dataPt>
          <cx:dataPt idx="10">
            <cx:spPr>
              <a:solidFill>
                <a:srgbClr val="4EA72E"/>
              </a:solidFill>
            </cx:spPr>
          </cx:dataPt>
          <cx:dataPt idx="11">
            <cx:spPr>
              <a:solidFill>
                <a:srgbClr val="4EA72E"/>
              </a:solidFill>
            </cx:spPr>
          </cx:dataPt>
          <cx:dataPt idx="12">
            <cx:spPr>
              <a:solidFill>
                <a:srgbClr val="4EA72E"/>
              </a:solidFill>
            </cx:spPr>
          </cx:dataPt>
          <cx:dataPt idx="13">
            <cx:spPr>
              <a:solidFill>
                <a:srgbClr val="FF0000"/>
              </a:solidFill>
            </cx:spPr>
          </cx:dataPt>
          <cx:dataPt idx="14">
            <cx:spPr>
              <a:solidFill>
                <a:srgbClr val="4EA72E"/>
              </a:solidFill>
            </cx:spPr>
          </cx:dataPt>
          <cx:dataPt idx="15">
            <cx:spPr>
              <a:solidFill>
                <a:srgbClr val="FF0000"/>
              </a:solidFill>
            </cx:spPr>
          </cx:dataPt>
          <cx:dataPt idx="16">
            <cx:spPr>
              <a:solidFill>
                <a:srgbClr val="FF0000"/>
              </a:solidFill>
            </cx:spPr>
          </cx:dataPt>
          <cx:dataPt idx="17">
            <cx:spPr>
              <a:solidFill>
                <a:srgbClr val="4EA72E"/>
              </a:solidFill>
            </cx:spPr>
          </cx:dataPt>
          <cx:dataPt idx="18">
            <cx:spPr>
              <a:solidFill>
                <a:srgbClr val="FF0000"/>
              </a:solidFill>
            </cx:spPr>
          </cx:dataPt>
          <cx:dataPt idx="19">
            <cx:spPr>
              <a:solidFill>
                <a:srgbClr val="FF0000"/>
              </a:solidFill>
            </cx:spPr>
          </cx:dataPt>
          <cx:dataPt idx="20">
            <cx:spPr>
              <a:solidFill>
                <a:srgbClr val="FF0000"/>
              </a:solidFill>
            </cx:spPr>
          </cx:dataPt>
          <cx:dataPt idx="21">
            <cx:spPr>
              <a:solidFill>
                <a:srgbClr val="FF0000"/>
              </a:solidFill>
            </cx:spPr>
          </cx:dataPt>
          <cx:dataPt idx="22">
            <cx:spPr>
              <a:solidFill>
                <a:srgbClr val="FF0000"/>
              </a:solidFill>
            </cx:spPr>
          </cx:dataPt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600" b="0" i="0">
                    <a:solidFill>
                      <a:srgbClr val="595959"/>
                    </a:solidFill>
                    <a:latin typeface="Aptos Narrow" panose="020B0004020202020204" pitchFamily="34" charset="0"/>
                    <a:ea typeface="Aptos Narrow" panose="020B0004020202020204" pitchFamily="34" charset="0"/>
                    <a:cs typeface="Aptos Narrow" panose="020B0004020202020204" pitchFamily="34" charset="0"/>
                  </a:defRPr>
                </a:pPr>
                <a:endParaRPr lang="en-GB" sz="1600"/>
              </a:p>
            </cx:txPr>
          </cx:dataLabels>
          <cx:dataId val="0"/>
          <cx:layoutPr>
            <cx:visibility connectorLines="1"/>
            <cx:subtotals/>
          </cx:layoutPr>
        </cx:series>
      </cx:plotAreaRegion>
      <cx:axis id="0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sz="1600" b="0" i="0">
                <a:solidFill>
                  <a:srgbClr val="595959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GB" sz="1600"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600" b="0" i="0">
                <a:solidFill>
                  <a:srgbClr val="595959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GB" sz="1600"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rich>
          <a:bodyPr vertOverflow="overflow" horzOverflow="overflow" wrap="square" lIns="0" tIns="0" rIns="0" bIns="0"/>
          <a:lstStyle/>
          <a:p>
            <a:pPr algn="ctr" rtl="0">
              <a:defRPr sz="2400" b="0" i="0">
                <a:solidFill>
                  <a:schemeClr val="tx1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r>
              <a:rPr lang="en-GB" sz="2400" b="0" i="0" u="none" strike="noStrike" baseline="0">
                <a:solidFill>
                  <a:schemeClr val="tx1"/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ING Bank recorded a </a:t>
            </a:r>
            <a:r>
              <a:rPr lang="en-GB" sz="2400" b="1" i="0" u="none" strike="noStrike" baseline="0">
                <a:solidFill>
                  <a:schemeClr val="tx1"/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significant increase</a:t>
            </a:r>
            <a:r>
              <a:rPr lang="en-GB" sz="2400" b="0" i="0" u="none" strike="noStrike" baseline="0">
                <a:solidFill>
                  <a:schemeClr val="tx1"/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 in its stock price around the turn of 2023 and 2024, but since mid-2024 it has been experiencing a </a:t>
            </a:r>
            <a:r>
              <a:rPr lang="en-GB" sz="2400" b="1" i="0" u="none" strike="noStrike" baseline="0">
                <a:solidFill>
                  <a:schemeClr val="tx1"/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noticeable decline</a:t>
            </a:r>
            <a:endParaRPr lang="en-GB" sz="2400">
              <a:solidFill>
                <a:schemeClr val="tx1"/>
              </a:solidFill>
            </a:endParaRPr>
          </a:p>
        </cx:rich>
      </cx:tx>
    </cx:title>
    <cx:plotArea>
      <cx:plotAreaRegion>
        <cx:series layoutId="waterfall" uniqueId="{5A738BCA-A646-704D-840C-CDFC09773CB2}">
          <cx:tx>
            <cx:txData>
              <cx:f>_xlchart.v1.4</cx:f>
              <cx:v>return</cx:v>
            </cx:txData>
          </cx:tx>
          <cx:dataPt idx="0">
            <cx:spPr>
              <a:solidFill>
                <a:srgbClr val="FF0000"/>
              </a:solidFill>
            </cx:spPr>
          </cx:dataPt>
          <cx:dataPt idx="1">
            <cx:spPr>
              <a:solidFill>
                <a:srgbClr val="FF0000"/>
              </a:solidFill>
            </cx:spPr>
          </cx:dataPt>
          <cx:dataPt idx="2">
            <cx:spPr>
              <a:solidFill>
                <a:srgbClr val="4EA72E"/>
              </a:solidFill>
            </cx:spPr>
          </cx:dataPt>
          <cx:dataPt idx="3">
            <cx:spPr>
              <a:solidFill>
                <a:srgbClr val="4EA72E"/>
              </a:solidFill>
            </cx:spPr>
          </cx:dataPt>
          <cx:dataPt idx="4">
            <cx:spPr>
              <a:solidFill>
                <a:srgbClr val="4EA72E"/>
              </a:solidFill>
            </cx:spPr>
          </cx:dataPt>
          <cx:dataPt idx="5">
            <cx:spPr>
              <a:solidFill>
                <a:srgbClr val="FF0000"/>
              </a:solidFill>
            </cx:spPr>
          </cx:dataPt>
          <cx:dataPt idx="6">
            <cx:spPr>
              <a:solidFill>
                <a:srgbClr val="FF0000"/>
              </a:solidFill>
            </cx:spPr>
          </cx:dataPt>
          <cx:dataPt idx="7">
            <cx:spPr>
              <a:solidFill>
                <a:srgbClr val="4EA72E"/>
              </a:solidFill>
            </cx:spPr>
          </cx:dataPt>
          <cx:dataPt idx="8">
            <cx:spPr>
              <a:solidFill>
                <a:srgbClr val="4EA72E"/>
              </a:solidFill>
            </cx:spPr>
          </cx:dataPt>
          <cx:dataPt idx="9">
            <cx:spPr>
              <a:solidFill>
                <a:srgbClr val="4EA72E"/>
              </a:solidFill>
            </cx:spPr>
          </cx:dataPt>
          <cx:dataPt idx="10">
            <cx:spPr>
              <a:solidFill>
                <a:srgbClr val="4EA72E"/>
              </a:solidFill>
            </cx:spPr>
          </cx:dataPt>
          <cx:dataPt idx="11">
            <cx:spPr>
              <a:solidFill>
                <a:srgbClr val="4EA72E"/>
              </a:solidFill>
            </cx:spPr>
          </cx:dataPt>
          <cx:dataPt idx="12">
            <cx:spPr>
              <a:solidFill>
                <a:srgbClr val="4EA72E"/>
              </a:solidFill>
            </cx:spPr>
          </cx:dataPt>
          <cx:dataPt idx="13">
            <cx:spPr>
              <a:solidFill>
                <a:srgbClr val="FF0000"/>
              </a:solidFill>
            </cx:spPr>
          </cx:dataPt>
          <cx:dataPt idx="14">
            <cx:spPr>
              <a:solidFill>
                <a:srgbClr val="4EA72E"/>
              </a:solidFill>
            </cx:spPr>
          </cx:dataPt>
          <cx:dataPt idx="15">
            <cx:spPr>
              <a:solidFill>
                <a:srgbClr val="FF0000"/>
              </a:solidFill>
            </cx:spPr>
          </cx:dataPt>
          <cx:dataPt idx="16">
            <cx:spPr>
              <a:solidFill>
                <a:srgbClr val="FF0000"/>
              </a:solidFill>
            </cx:spPr>
          </cx:dataPt>
          <cx:dataPt idx="17">
            <cx:spPr>
              <a:solidFill>
                <a:srgbClr val="4EA72E"/>
              </a:solidFill>
            </cx:spPr>
          </cx:dataPt>
          <cx:dataPt idx="18">
            <cx:spPr>
              <a:solidFill>
                <a:srgbClr val="FF0000"/>
              </a:solidFill>
            </cx:spPr>
          </cx:dataPt>
          <cx:dataPt idx="19">
            <cx:spPr>
              <a:solidFill>
                <a:srgbClr val="FF0000"/>
              </a:solidFill>
            </cx:spPr>
          </cx:dataPt>
          <cx:dataPt idx="20">
            <cx:spPr>
              <a:solidFill>
                <a:srgbClr val="FF0000"/>
              </a:solidFill>
            </cx:spPr>
          </cx:dataPt>
          <cx:dataPt idx="21">
            <cx:spPr>
              <a:solidFill>
                <a:srgbClr val="FF0000"/>
              </a:solidFill>
            </cx:spPr>
          </cx:dataPt>
          <cx:dataPt idx="22">
            <cx:spPr>
              <a:solidFill>
                <a:srgbClr val="FF0000"/>
              </a:solidFill>
            </cx:spPr>
          </cx:dataPt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600" b="0" i="0">
                    <a:solidFill>
                      <a:srgbClr val="595959"/>
                    </a:solidFill>
                    <a:latin typeface="Aptos Narrow" panose="020B0004020202020204" pitchFamily="34" charset="0"/>
                    <a:ea typeface="Aptos Narrow" panose="020B0004020202020204" pitchFamily="34" charset="0"/>
                    <a:cs typeface="Aptos Narrow" panose="020B0004020202020204" pitchFamily="34" charset="0"/>
                  </a:defRPr>
                </a:pPr>
                <a:endParaRPr lang="en-GB" sz="1600"/>
              </a:p>
            </cx:txPr>
          </cx:dataLabels>
          <cx:dataId val="0"/>
          <cx:layoutPr>
            <cx:subtotals/>
          </cx:layoutPr>
        </cx:series>
      </cx:plotAreaRegion>
      <cx:axis id="0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sz="1600" b="0" i="0">
                <a:solidFill>
                  <a:srgbClr val="595959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GB" sz="1600"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600" b="0" i="0">
                <a:solidFill>
                  <a:srgbClr val="595959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GB" sz="1600"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31750</xdr:colOff>
      <xdr:row>0</xdr:row>
      <xdr:rowOff>196850</xdr:rowOff>
    </xdr:from>
    <xdr:to>
      <xdr:col>17</xdr:col>
      <xdr:colOff>431800</xdr:colOff>
      <xdr:row>33</xdr:row>
      <xdr:rowOff>170180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A8E31B9-9DBB-99A9-21E3-75802F3B10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46450" y="196850"/>
              <a:ext cx="11131550" cy="66789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0</xdr:row>
      <xdr:rowOff>177800</xdr:rowOff>
    </xdr:from>
    <xdr:to>
      <xdr:col>17</xdr:col>
      <xdr:colOff>823383</xdr:colOff>
      <xdr:row>34</xdr:row>
      <xdr:rowOff>190500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DAF4F0A-8E14-3695-F387-D40F4D0FD9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33750" y="177800"/>
              <a:ext cx="11535833" cy="6921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689F3F7-F89D-FD4B-9213-E0BE45F8CDC0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4" dataBound="0" tableColumnId="4"/>
      <queryTableField id="2" name="closes_alior" tableColumnId="2"/>
      <queryTableField id="3" name="closes_ing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BBD25D-3508-044F-B260-19567F3BB732}" name="int_data" displayName="int_data" ref="A1:D732" tableType="queryTable" totalsRowShown="0">
  <autoFilter ref="A1:D732" xr:uid="{3FBBD25D-3508-044F-B260-19567F3BB732}"/>
  <tableColumns count="4">
    <tableColumn id="1" xr3:uid="{B3D84FD7-A911-264C-887D-300FE76C3137}" uniqueName="1" name="date" queryTableFieldId="1" dataDxfId="5"/>
    <tableColumn id="4" xr3:uid="{77D20F69-1BC5-524F-920C-954F52E848CD}" uniqueName="4" name="yyyy-mm" queryTableFieldId="4" dataDxfId="4">
      <calculatedColumnFormula>_xlfn.CONCAT(YEAR(int_data[[#This Row],[date]]),"-",MONTH(int_data[[#This Row],[date]]))</calculatedColumnFormula>
    </tableColumn>
    <tableColumn id="2" xr3:uid="{B376CC7A-BD62-9A4C-AAA1-55FB36FCC1E3}" uniqueName="2" name="closes_alior" queryTableFieldId="2"/>
    <tableColumn id="3" xr3:uid="{3B695ADE-EA24-3E4A-94CA-D9E93F88BD11}" uniqueName="3" name="closes_ing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947097-C4A5-8B43-ACAC-48081A4945A1}" name="alior" displayName="alior" ref="A1:C25" totalsRowShown="0">
  <autoFilter ref="A1:C25" xr:uid="{35947097-C4A5-8B43-ACAC-48081A4945A1}"/>
  <tableColumns count="3">
    <tableColumn id="1" xr3:uid="{7BAAC385-5275-014F-BBE9-BD20AB88B223}" name="date"/>
    <tableColumn id="2" xr3:uid="{C18F8549-22E9-4F44-9F33-A56612AED313}" name="average" dataDxfId="3">
      <calculatedColumnFormula>AVERAGEIF(int_data!B:B,alior[[#This Row],[date]],int_data!C:C)</calculatedColumnFormula>
    </tableColumn>
    <tableColumn id="5" xr3:uid="{78535AC5-5A9A-2F40-9CE8-8BB6067EAEE1}" name="return" dataDxfId="2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79F2E69-E819-CE41-981F-343B3DC7A0F6}" name="ing" displayName="ing" ref="A1:C25" totalsRowShown="0">
  <autoFilter ref="A1:C25" xr:uid="{179F2E69-E819-CE41-981F-343B3DC7A0F6}"/>
  <tableColumns count="3">
    <tableColumn id="1" xr3:uid="{2EC3436A-C95C-8949-9A8C-F76243A75AE9}" name="date"/>
    <tableColumn id="2" xr3:uid="{FEB87B5A-9DB6-9A4F-B76F-6C183D6ED33E}" name="average" dataDxfId="1">
      <calculatedColumnFormula>AVERAGEIF(int_data!B:B,ing[[#This Row],[date]],int_data!D:D)</calculatedColumnFormula>
    </tableColumn>
    <tableColumn id="3" xr3:uid="{09D0B7D0-68CA-6D41-8C73-DBA34AFE60C5}" name="return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4F4D1-0E0E-3E4A-AB9B-9F7A59571A7A}">
  <dimension ref="A1:D732"/>
  <sheetViews>
    <sheetView workbookViewId="0">
      <selection activeCell="G53" sqref="G53"/>
    </sheetView>
  </sheetViews>
  <sheetFormatPr baseColWidth="10" defaultRowHeight="16" x14ac:dyDescent="0.2"/>
  <cols>
    <col min="1" max="1" width="10.5" bestFit="1" customWidth="1"/>
    <col min="2" max="2" width="10.5" customWidth="1"/>
    <col min="3" max="3" width="13.6640625" bestFit="1" customWidth="1"/>
    <col min="4" max="4" width="12.5" bestFit="1" customWidth="1"/>
  </cols>
  <sheetData>
    <row r="1" spans="1:4" x14ac:dyDescent="0.2">
      <c r="A1" t="s">
        <v>0</v>
      </c>
      <c r="B1" t="s">
        <v>28</v>
      </c>
      <c r="C1" t="s">
        <v>1</v>
      </c>
      <c r="D1" t="s">
        <v>2</v>
      </c>
    </row>
    <row r="2" spans="1:4" x14ac:dyDescent="0.2">
      <c r="A2" s="1">
        <v>44927</v>
      </c>
      <c r="B2" s="1" t="str">
        <f>_xlfn.CONCAT(YEAR(int_data[[#This Row],[date]]),"-",MONTH(int_data[[#This Row],[date]]))</f>
        <v>2023-1</v>
      </c>
      <c r="C2">
        <v>30.16</v>
      </c>
      <c r="D2">
        <v>137.35</v>
      </c>
    </row>
    <row r="3" spans="1:4" x14ac:dyDescent="0.2">
      <c r="A3" s="1">
        <v>44928</v>
      </c>
      <c r="B3" s="1" t="str">
        <f>_xlfn.CONCAT(YEAR(int_data[[#This Row],[date]]),"-",MONTH(int_data[[#This Row],[date]]))</f>
        <v>2023-1</v>
      </c>
      <c r="C3">
        <v>30.16</v>
      </c>
      <c r="D3">
        <v>137.35</v>
      </c>
    </row>
    <row r="4" spans="1:4" x14ac:dyDescent="0.2">
      <c r="A4" s="1">
        <v>44929</v>
      </c>
      <c r="B4" s="1" t="str">
        <f>_xlfn.CONCAT(YEAR(int_data[[#This Row],[date]]),"-",MONTH(int_data[[#This Row],[date]]))</f>
        <v>2023-1</v>
      </c>
      <c r="C4">
        <v>33.369999999999997</v>
      </c>
      <c r="D4">
        <v>142.71</v>
      </c>
    </row>
    <row r="5" spans="1:4" x14ac:dyDescent="0.2">
      <c r="A5" s="1">
        <v>44930</v>
      </c>
      <c r="B5" s="1" t="str">
        <f>_xlfn.CONCAT(YEAR(int_data[[#This Row],[date]]),"-",MONTH(int_data[[#This Row],[date]]))</f>
        <v>2023-1</v>
      </c>
      <c r="C5">
        <v>35.68</v>
      </c>
      <c r="D5">
        <v>148.06</v>
      </c>
    </row>
    <row r="6" spans="1:4" x14ac:dyDescent="0.2">
      <c r="A6" s="1">
        <v>44931</v>
      </c>
      <c r="B6" s="1" t="str">
        <f>_xlfn.CONCAT(YEAR(int_data[[#This Row],[date]]),"-",MONTH(int_data[[#This Row],[date]]))</f>
        <v>2023-1</v>
      </c>
      <c r="C6">
        <v>36.270000000000003</v>
      </c>
      <c r="D6">
        <v>149.22999999999999</v>
      </c>
    </row>
    <row r="7" spans="1:4" x14ac:dyDescent="0.2">
      <c r="A7" s="1">
        <v>44932</v>
      </c>
      <c r="B7" s="1" t="str">
        <f>_xlfn.CONCAT(YEAR(int_data[[#This Row],[date]]),"-",MONTH(int_data[[#This Row],[date]]))</f>
        <v>2023-1</v>
      </c>
      <c r="C7">
        <v>37.340000000000003</v>
      </c>
      <c r="D7">
        <v>152.74</v>
      </c>
    </row>
    <row r="8" spans="1:4" x14ac:dyDescent="0.2">
      <c r="A8" s="1">
        <v>44933</v>
      </c>
      <c r="B8" s="1" t="str">
        <f>_xlfn.CONCAT(YEAR(int_data[[#This Row],[date]]),"-",MONTH(int_data[[#This Row],[date]]))</f>
        <v>2023-1</v>
      </c>
      <c r="C8">
        <v>37.799999999999997</v>
      </c>
      <c r="D8">
        <v>151.41</v>
      </c>
    </row>
    <row r="9" spans="1:4" x14ac:dyDescent="0.2">
      <c r="A9" s="1">
        <v>44934</v>
      </c>
      <c r="B9" s="1" t="str">
        <f>_xlfn.CONCAT(YEAR(int_data[[#This Row],[date]]),"-",MONTH(int_data[[#This Row],[date]]))</f>
        <v>2023-1</v>
      </c>
      <c r="C9">
        <v>37.03</v>
      </c>
      <c r="D9">
        <v>150.57</v>
      </c>
    </row>
    <row r="10" spans="1:4" x14ac:dyDescent="0.2">
      <c r="A10" s="1">
        <v>44935</v>
      </c>
      <c r="B10" s="1" t="str">
        <f>_xlfn.CONCAT(YEAR(int_data[[#This Row],[date]]),"-",MONTH(int_data[[#This Row],[date]]))</f>
        <v>2023-1</v>
      </c>
      <c r="C10">
        <v>36.26</v>
      </c>
      <c r="D10">
        <v>149.72999999999999</v>
      </c>
    </row>
    <row r="11" spans="1:4" x14ac:dyDescent="0.2">
      <c r="A11" s="1">
        <v>44936</v>
      </c>
      <c r="B11" s="1" t="str">
        <f>_xlfn.CONCAT(YEAR(int_data[[#This Row],[date]]),"-",MONTH(int_data[[#This Row],[date]]))</f>
        <v>2023-1</v>
      </c>
      <c r="C11">
        <v>36.869999999999997</v>
      </c>
      <c r="D11">
        <v>152.24</v>
      </c>
    </row>
    <row r="12" spans="1:4" x14ac:dyDescent="0.2">
      <c r="A12" s="1">
        <v>44937</v>
      </c>
      <c r="B12" s="1" t="str">
        <f>_xlfn.CONCAT(YEAR(int_data[[#This Row],[date]]),"-",MONTH(int_data[[#This Row],[date]]))</f>
        <v>2023-1</v>
      </c>
      <c r="C12">
        <v>36.729999999999997</v>
      </c>
      <c r="D12">
        <v>150.98500000000001</v>
      </c>
    </row>
    <row r="13" spans="1:4" x14ac:dyDescent="0.2">
      <c r="A13" s="1">
        <v>44938</v>
      </c>
      <c r="B13" s="1" t="str">
        <f>_xlfn.CONCAT(YEAR(int_data[[#This Row],[date]]),"-",MONTH(int_data[[#This Row],[date]]))</f>
        <v>2023-1</v>
      </c>
      <c r="C13">
        <v>36.590000000000003</v>
      </c>
      <c r="D13">
        <v>149.72999999999999</v>
      </c>
    </row>
    <row r="14" spans="1:4" x14ac:dyDescent="0.2">
      <c r="A14" s="1">
        <v>44939</v>
      </c>
      <c r="B14" s="1" t="str">
        <f>_xlfn.CONCAT(YEAR(int_data[[#This Row],[date]]),"-",MONTH(int_data[[#This Row],[date]]))</f>
        <v>2023-1</v>
      </c>
      <c r="C14">
        <v>36.89</v>
      </c>
      <c r="D14">
        <v>150.4</v>
      </c>
    </row>
    <row r="15" spans="1:4" x14ac:dyDescent="0.2">
      <c r="A15" s="1">
        <v>44940</v>
      </c>
      <c r="B15" s="1" t="str">
        <f>_xlfn.CONCAT(YEAR(int_data[[#This Row],[date]]),"-",MONTH(int_data[[#This Row],[date]]))</f>
        <v>2023-1</v>
      </c>
      <c r="C15">
        <v>36.700000000000003</v>
      </c>
      <c r="D15">
        <v>147.97499999999999</v>
      </c>
    </row>
    <row r="16" spans="1:4" x14ac:dyDescent="0.2">
      <c r="A16" s="1">
        <v>44941</v>
      </c>
      <c r="B16" s="1" t="str">
        <f>_xlfn.CONCAT(YEAR(int_data[[#This Row],[date]]),"-",MONTH(int_data[[#This Row],[date]]))</f>
        <v>2023-1</v>
      </c>
      <c r="C16">
        <v>36.51</v>
      </c>
      <c r="D16">
        <v>145.55000000000001</v>
      </c>
    </row>
    <row r="17" spans="1:4" x14ac:dyDescent="0.2">
      <c r="A17" s="1">
        <v>44942</v>
      </c>
      <c r="B17" s="1" t="str">
        <f>_xlfn.CONCAT(YEAR(int_data[[#This Row],[date]]),"-",MONTH(int_data[[#This Row],[date]]))</f>
        <v>2023-1</v>
      </c>
      <c r="C17">
        <v>35.42</v>
      </c>
      <c r="D17">
        <v>143.54</v>
      </c>
    </row>
    <row r="18" spans="1:4" x14ac:dyDescent="0.2">
      <c r="A18" s="1">
        <v>44943</v>
      </c>
      <c r="B18" s="1" t="str">
        <f>_xlfn.CONCAT(YEAR(int_data[[#This Row],[date]]),"-",MONTH(int_data[[#This Row],[date]]))</f>
        <v>2023-1</v>
      </c>
      <c r="C18">
        <v>34.56</v>
      </c>
      <c r="D18">
        <v>141.03</v>
      </c>
    </row>
    <row r="19" spans="1:4" x14ac:dyDescent="0.2">
      <c r="A19" s="1">
        <v>44944</v>
      </c>
      <c r="B19" s="1" t="str">
        <f>_xlfn.CONCAT(YEAR(int_data[[#This Row],[date]]),"-",MONTH(int_data[[#This Row],[date]]))</f>
        <v>2023-1</v>
      </c>
      <c r="C19">
        <v>35.22</v>
      </c>
      <c r="D19">
        <v>143.21</v>
      </c>
    </row>
    <row r="20" spans="1:4" x14ac:dyDescent="0.2">
      <c r="A20" s="1">
        <v>44945</v>
      </c>
      <c r="B20" s="1" t="str">
        <f>_xlfn.CONCAT(YEAR(int_data[[#This Row],[date]]),"-",MONTH(int_data[[#This Row],[date]]))</f>
        <v>2023-1</v>
      </c>
      <c r="C20">
        <v>35.24</v>
      </c>
      <c r="D20">
        <v>147.06</v>
      </c>
    </row>
    <row r="21" spans="1:4" x14ac:dyDescent="0.2">
      <c r="A21" s="1">
        <v>44946</v>
      </c>
      <c r="B21" s="1" t="str">
        <f>_xlfn.CONCAT(YEAR(int_data[[#This Row],[date]]),"-",MONTH(int_data[[#This Row],[date]]))</f>
        <v>2023-1</v>
      </c>
      <c r="C21">
        <v>35.04</v>
      </c>
      <c r="D21">
        <v>146.05000000000001</v>
      </c>
    </row>
    <row r="22" spans="1:4" x14ac:dyDescent="0.2">
      <c r="A22" s="1">
        <v>44947</v>
      </c>
      <c r="B22" s="1" t="str">
        <f>_xlfn.CONCAT(YEAR(int_data[[#This Row],[date]]),"-",MONTH(int_data[[#This Row],[date]]))</f>
        <v>2023-1</v>
      </c>
      <c r="C22">
        <v>33.46</v>
      </c>
      <c r="D22">
        <v>143.88</v>
      </c>
    </row>
    <row r="23" spans="1:4" x14ac:dyDescent="0.2">
      <c r="A23" s="1">
        <v>44948</v>
      </c>
      <c r="B23" s="1" t="str">
        <f>_xlfn.CONCAT(YEAR(int_data[[#This Row],[date]]),"-",MONTH(int_data[[#This Row],[date]]))</f>
        <v>2023-1</v>
      </c>
      <c r="C23">
        <v>33.594999999999999</v>
      </c>
      <c r="D23">
        <v>143.46</v>
      </c>
    </row>
    <row r="24" spans="1:4" x14ac:dyDescent="0.2">
      <c r="A24" s="1">
        <v>44949</v>
      </c>
      <c r="B24" s="1" t="str">
        <f>_xlfn.CONCAT(YEAR(int_data[[#This Row],[date]]),"-",MONTH(int_data[[#This Row],[date]]))</f>
        <v>2023-1</v>
      </c>
      <c r="C24">
        <v>33.729999999999997</v>
      </c>
      <c r="D24">
        <v>143.04</v>
      </c>
    </row>
    <row r="25" spans="1:4" x14ac:dyDescent="0.2">
      <c r="A25" s="1">
        <v>44950</v>
      </c>
      <c r="B25" s="1" t="str">
        <f>_xlfn.CONCAT(YEAR(int_data[[#This Row],[date]]),"-",MONTH(int_data[[#This Row],[date]]))</f>
        <v>2023-1</v>
      </c>
      <c r="C25">
        <v>33.729999999999997</v>
      </c>
      <c r="D25">
        <v>143.71</v>
      </c>
    </row>
    <row r="26" spans="1:4" x14ac:dyDescent="0.2">
      <c r="A26" s="1">
        <v>44951</v>
      </c>
      <c r="B26" s="1" t="str">
        <f>_xlfn.CONCAT(YEAR(int_data[[#This Row],[date]]),"-",MONTH(int_data[[#This Row],[date]]))</f>
        <v>2023-1</v>
      </c>
      <c r="C26">
        <v>32.975000000000001</v>
      </c>
      <c r="D26">
        <v>141.44999999999999</v>
      </c>
    </row>
    <row r="27" spans="1:4" x14ac:dyDescent="0.2">
      <c r="A27" s="1">
        <v>44952</v>
      </c>
      <c r="B27" s="1" t="str">
        <f>_xlfn.CONCAT(YEAR(int_data[[#This Row],[date]]),"-",MONTH(int_data[[#This Row],[date]]))</f>
        <v>2023-1</v>
      </c>
      <c r="C27">
        <v>32.22</v>
      </c>
      <c r="D27">
        <v>139.19</v>
      </c>
    </row>
    <row r="28" spans="1:4" x14ac:dyDescent="0.2">
      <c r="A28" s="1">
        <v>44953</v>
      </c>
      <c r="B28" s="1" t="str">
        <f>_xlfn.CONCAT(YEAR(int_data[[#This Row],[date]]),"-",MONTH(int_data[[#This Row],[date]]))</f>
        <v>2023-1</v>
      </c>
      <c r="C28">
        <v>34.07</v>
      </c>
      <c r="D28">
        <v>144.38</v>
      </c>
    </row>
    <row r="29" spans="1:4" x14ac:dyDescent="0.2">
      <c r="A29" s="1">
        <v>44954</v>
      </c>
      <c r="B29" s="1" t="str">
        <f>_xlfn.CONCAT(YEAR(int_data[[#This Row],[date]]),"-",MONTH(int_data[[#This Row],[date]]))</f>
        <v>2023-1</v>
      </c>
      <c r="C29">
        <v>34.119999999999997</v>
      </c>
      <c r="D29">
        <v>144.55000000000001</v>
      </c>
    </row>
    <row r="30" spans="1:4" x14ac:dyDescent="0.2">
      <c r="A30" s="1">
        <v>44955</v>
      </c>
      <c r="B30" s="1" t="str">
        <f>_xlfn.CONCAT(YEAR(int_data[[#This Row],[date]]),"-",MONTH(int_data[[#This Row],[date]]))</f>
        <v>2023-1</v>
      </c>
      <c r="C30">
        <v>34.61</v>
      </c>
      <c r="D30">
        <v>143.54</v>
      </c>
    </row>
    <row r="31" spans="1:4" x14ac:dyDescent="0.2">
      <c r="A31" s="1">
        <v>44956</v>
      </c>
      <c r="B31" s="1" t="str">
        <f>_xlfn.CONCAT(YEAR(int_data[[#This Row],[date]]),"-",MONTH(int_data[[#This Row],[date]]))</f>
        <v>2023-1</v>
      </c>
      <c r="C31">
        <v>34.94</v>
      </c>
      <c r="D31">
        <v>144.55000000000001</v>
      </c>
    </row>
    <row r="32" spans="1:4" x14ac:dyDescent="0.2">
      <c r="A32" s="1">
        <v>44957</v>
      </c>
      <c r="B32" s="1" t="str">
        <f>_xlfn.CONCAT(YEAR(int_data[[#This Row],[date]]),"-",MONTH(int_data[[#This Row],[date]]))</f>
        <v>2023-1</v>
      </c>
      <c r="C32">
        <v>33.99</v>
      </c>
      <c r="D32">
        <v>142.37</v>
      </c>
    </row>
    <row r="33" spans="1:4" x14ac:dyDescent="0.2">
      <c r="A33" s="1">
        <v>44958</v>
      </c>
      <c r="B33" s="1" t="str">
        <f>_xlfn.CONCAT(YEAR(int_data[[#This Row],[date]]),"-",MONTH(int_data[[#This Row],[date]]))</f>
        <v>2023-2</v>
      </c>
      <c r="C33">
        <v>33.979999999999997</v>
      </c>
      <c r="D33">
        <v>140.87</v>
      </c>
    </row>
    <row r="34" spans="1:4" x14ac:dyDescent="0.2">
      <c r="A34" s="1">
        <v>44959</v>
      </c>
      <c r="B34" s="1" t="str">
        <f>_xlfn.CONCAT(YEAR(int_data[[#This Row],[date]]),"-",MONTH(int_data[[#This Row],[date]]))</f>
        <v>2023-2</v>
      </c>
      <c r="C34">
        <v>33.914999999999999</v>
      </c>
      <c r="D34">
        <v>141.20500000000001</v>
      </c>
    </row>
    <row r="35" spans="1:4" x14ac:dyDescent="0.2">
      <c r="A35" s="1">
        <v>44960</v>
      </c>
      <c r="B35" s="1" t="str">
        <f>_xlfn.CONCAT(YEAR(int_data[[#This Row],[date]]),"-",MONTH(int_data[[#This Row],[date]]))</f>
        <v>2023-2</v>
      </c>
      <c r="C35">
        <v>33.85</v>
      </c>
      <c r="D35">
        <v>141.54</v>
      </c>
    </row>
    <row r="36" spans="1:4" x14ac:dyDescent="0.2">
      <c r="A36" s="1">
        <v>44961</v>
      </c>
      <c r="B36" s="1" t="str">
        <f>_xlfn.CONCAT(YEAR(int_data[[#This Row],[date]]),"-",MONTH(int_data[[#This Row],[date]]))</f>
        <v>2023-2</v>
      </c>
      <c r="C36">
        <v>35.229999999999997</v>
      </c>
      <c r="D36">
        <v>145.38</v>
      </c>
    </row>
    <row r="37" spans="1:4" x14ac:dyDescent="0.2">
      <c r="A37" s="1">
        <v>44962</v>
      </c>
      <c r="B37" s="1" t="str">
        <f>_xlfn.CONCAT(YEAR(int_data[[#This Row],[date]]),"-",MONTH(int_data[[#This Row],[date]]))</f>
        <v>2023-2</v>
      </c>
      <c r="C37">
        <v>34.51</v>
      </c>
      <c r="D37">
        <v>144.38</v>
      </c>
    </row>
    <row r="38" spans="1:4" x14ac:dyDescent="0.2">
      <c r="A38" s="1">
        <v>44963</v>
      </c>
      <c r="B38" s="1" t="str">
        <f>_xlfn.CONCAT(YEAR(int_data[[#This Row],[date]]),"-",MONTH(int_data[[#This Row],[date]]))</f>
        <v>2023-2</v>
      </c>
      <c r="C38">
        <v>33.79</v>
      </c>
      <c r="D38">
        <v>143.38</v>
      </c>
    </row>
    <row r="39" spans="1:4" x14ac:dyDescent="0.2">
      <c r="A39" s="1">
        <v>44964</v>
      </c>
      <c r="B39" s="1" t="str">
        <f>_xlfn.CONCAT(YEAR(int_data[[#This Row],[date]]),"-",MONTH(int_data[[#This Row],[date]]))</f>
        <v>2023-2</v>
      </c>
      <c r="C39">
        <v>33.729999999999997</v>
      </c>
      <c r="D39">
        <v>138.36000000000001</v>
      </c>
    </row>
    <row r="40" spans="1:4" x14ac:dyDescent="0.2">
      <c r="A40" s="1">
        <v>44965</v>
      </c>
      <c r="B40" s="1" t="str">
        <f>_xlfn.CONCAT(YEAR(int_data[[#This Row],[date]]),"-",MONTH(int_data[[#This Row],[date]]))</f>
        <v>2023-2</v>
      </c>
      <c r="C40">
        <v>34.22</v>
      </c>
      <c r="D40">
        <v>139.86000000000001</v>
      </c>
    </row>
    <row r="41" spans="1:4" x14ac:dyDescent="0.2">
      <c r="A41" s="1">
        <v>44966</v>
      </c>
      <c r="B41" s="1" t="str">
        <f>_xlfn.CONCAT(YEAR(int_data[[#This Row],[date]]),"-",MONTH(int_data[[#This Row],[date]]))</f>
        <v>2023-2</v>
      </c>
      <c r="C41">
        <v>34.35</v>
      </c>
      <c r="D41">
        <v>140.53</v>
      </c>
    </row>
    <row r="42" spans="1:4" x14ac:dyDescent="0.2">
      <c r="A42" s="1">
        <v>44967</v>
      </c>
      <c r="B42" s="1" t="str">
        <f>_xlfn.CONCAT(YEAR(int_data[[#This Row],[date]]),"-",MONTH(int_data[[#This Row],[date]]))</f>
        <v>2023-2</v>
      </c>
      <c r="C42">
        <v>35.47</v>
      </c>
      <c r="D42">
        <v>143.88</v>
      </c>
    </row>
    <row r="43" spans="1:4" x14ac:dyDescent="0.2">
      <c r="A43" s="1">
        <v>44968</v>
      </c>
      <c r="B43" s="1" t="str">
        <f>_xlfn.CONCAT(YEAR(int_data[[#This Row],[date]]),"-",MONTH(int_data[[#This Row],[date]]))</f>
        <v>2023-2</v>
      </c>
      <c r="C43">
        <v>34.630000000000003</v>
      </c>
      <c r="D43">
        <v>141.19999999999999</v>
      </c>
    </row>
    <row r="44" spans="1:4" x14ac:dyDescent="0.2">
      <c r="A44" s="1">
        <v>44969</v>
      </c>
      <c r="B44" s="1" t="str">
        <f>_xlfn.CONCAT(YEAR(int_data[[#This Row],[date]]),"-",MONTH(int_data[[#This Row],[date]]))</f>
        <v>2023-2</v>
      </c>
      <c r="C44">
        <v>34.299999999999997</v>
      </c>
      <c r="D44">
        <v>140.19999999999999</v>
      </c>
    </row>
    <row r="45" spans="1:4" x14ac:dyDescent="0.2">
      <c r="A45" s="1">
        <v>44970</v>
      </c>
      <c r="B45" s="1" t="str">
        <f>_xlfn.CONCAT(YEAR(int_data[[#This Row],[date]]),"-",MONTH(int_data[[#This Row],[date]]))</f>
        <v>2023-2</v>
      </c>
      <c r="C45">
        <v>34.1</v>
      </c>
      <c r="D45">
        <v>140.11500000000001</v>
      </c>
    </row>
    <row r="46" spans="1:4" x14ac:dyDescent="0.2">
      <c r="A46" s="1">
        <v>44971</v>
      </c>
      <c r="B46" s="1" t="str">
        <f>_xlfn.CONCAT(YEAR(int_data[[#This Row],[date]]),"-",MONTH(int_data[[#This Row],[date]]))</f>
        <v>2023-2</v>
      </c>
      <c r="C46">
        <v>33.9</v>
      </c>
      <c r="D46">
        <v>140.03</v>
      </c>
    </row>
    <row r="47" spans="1:4" x14ac:dyDescent="0.2">
      <c r="A47" s="1">
        <v>44972</v>
      </c>
      <c r="B47" s="1" t="str">
        <f>_xlfn.CONCAT(YEAR(int_data[[#This Row],[date]]),"-",MONTH(int_data[[#This Row],[date]]))</f>
        <v>2023-2</v>
      </c>
      <c r="C47">
        <v>33.47</v>
      </c>
      <c r="D47">
        <v>136.52000000000001</v>
      </c>
    </row>
    <row r="48" spans="1:4" x14ac:dyDescent="0.2">
      <c r="A48" s="1">
        <v>44973</v>
      </c>
      <c r="B48" s="1" t="str">
        <f>_xlfn.CONCAT(YEAR(int_data[[#This Row],[date]]),"-",MONTH(int_data[[#This Row],[date]]))</f>
        <v>2023-2</v>
      </c>
      <c r="C48">
        <v>33.715000000000003</v>
      </c>
      <c r="D48">
        <v>137.77500000000001</v>
      </c>
    </row>
    <row r="49" spans="1:4" x14ac:dyDescent="0.2">
      <c r="A49" s="1">
        <v>44974</v>
      </c>
      <c r="B49" s="1" t="str">
        <f>_xlfn.CONCAT(YEAR(int_data[[#This Row],[date]]),"-",MONTH(int_data[[#This Row],[date]]))</f>
        <v>2023-2</v>
      </c>
      <c r="C49">
        <v>33.96</v>
      </c>
      <c r="D49">
        <v>139.03</v>
      </c>
    </row>
    <row r="50" spans="1:4" x14ac:dyDescent="0.2">
      <c r="A50" s="1">
        <v>44975</v>
      </c>
      <c r="B50" s="1" t="str">
        <f>_xlfn.CONCAT(YEAR(int_data[[#This Row],[date]]),"-",MONTH(int_data[[#This Row],[date]]))</f>
        <v>2023-2</v>
      </c>
      <c r="C50">
        <v>34.53</v>
      </c>
      <c r="D50">
        <v>138.86000000000001</v>
      </c>
    </row>
    <row r="51" spans="1:4" x14ac:dyDescent="0.2">
      <c r="A51" s="1">
        <v>44976</v>
      </c>
      <c r="B51" s="1" t="str">
        <f>_xlfn.CONCAT(YEAR(int_data[[#This Row],[date]]),"-",MONTH(int_data[[#This Row],[date]]))</f>
        <v>2023-2</v>
      </c>
      <c r="C51">
        <v>34.61</v>
      </c>
      <c r="D51">
        <v>140.69999999999999</v>
      </c>
    </row>
    <row r="52" spans="1:4" x14ac:dyDescent="0.2">
      <c r="A52" s="1">
        <v>44977</v>
      </c>
      <c r="B52" s="1" t="str">
        <f>_xlfn.CONCAT(YEAR(int_data[[#This Row],[date]]),"-",MONTH(int_data[[#This Row],[date]]))</f>
        <v>2023-2</v>
      </c>
      <c r="C52">
        <v>35.299999999999997</v>
      </c>
      <c r="D52">
        <v>142.87</v>
      </c>
    </row>
    <row r="53" spans="1:4" x14ac:dyDescent="0.2">
      <c r="A53" s="1">
        <v>44978</v>
      </c>
      <c r="B53" s="1" t="str">
        <f>_xlfn.CONCAT(YEAR(int_data[[#This Row],[date]]),"-",MONTH(int_data[[#This Row],[date]]))</f>
        <v>2023-2</v>
      </c>
      <c r="C53">
        <v>34.99</v>
      </c>
      <c r="D53">
        <v>144.38</v>
      </c>
    </row>
    <row r="54" spans="1:4" x14ac:dyDescent="0.2">
      <c r="A54" s="1">
        <v>44979</v>
      </c>
      <c r="B54" s="1" t="str">
        <f>_xlfn.CONCAT(YEAR(int_data[[#This Row],[date]]),"-",MONTH(int_data[[#This Row],[date]]))</f>
        <v>2023-2</v>
      </c>
      <c r="C54">
        <v>34.42</v>
      </c>
      <c r="D54">
        <v>139.53</v>
      </c>
    </row>
    <row r="55" spans="1:4" x14ac:dyDescent="0.2">
      <c r="A55" s="1">
        <v>44980</v>
      </c>
      <c r="B55" s="1" t="str">
        <f>_xlfn.CONCAT(YEAR(int_data[[#This Row],[date]]),"-",MONTH(int_data[[#This Row],[date]]))</f>
        <v>2023-2</v>
      </c>
      <c r="C55">
        <v>34.340000000000003</v>
      </c>
      <c r="D55">
        <v>142.37</v>
      </c>
    </row>
    <row r="56" spans="1:4" x14ac:dyDescent="0.2">
      <c r="A56" s="1">
        <v>44981</v>
      </c>
      <c r="B56" s="1" t="str">
        <f>_xlfn.CONCAT(YEAR(int_data[[#This Row],[date]]),"-",MONTH(int_data[[#This Row],[date]]))</f>
        <v>2023-2</v>
      </c>
      <c r="C56">
        <v>34.765000000000001</v>
      </c>
      <c r="D56">
        <v>144.38</v>
      </c>
    </row>
    <row r="57" spans="1:4" x14ac:dyDescent="0.2">
      <c r="A57" s="1">
        <v>44982</v>
      </c>
      <c r="B57" s="1" t="str">
        <f>_xlfn.CONCAT(YEAR(int_data[[#This Row],[date]]),"-",MONTH(int_data[[#This Row],[date]]))</f>
        <v>2023-2</v>
      </c>
      <c r="C57">
        <v>35.19</v>
      </c>
      <c r="D57">
        <v>146.38999999999999</v>
      </c>
    </row>
    <row r="58" spans="1:4" x14ac:dyDescent="0.2">
      <c r="A58" s="1">
        <v>44983</v>
      </c>
      <c r="B58" s="1" t="str">
        <f>_xlfn.CONCAT(YEAR(int_data[[#This Row],[date]]),"-",MONTH(int_data[[#This Row],[date]]))</f>
        <v>2023-2</v>
      </c>
      <c r="C58">
        <v>35.659999999999997</v>
      </c>
      <c r="D58">
        <v>146.38999999999999</v>
      </c>
    </row>
    <row r="59" spans="1:4" x14ac:dyDescent="0.2">
      <c r="A59" s="1">
        <v>44984</v>
      </c>
      <c r="B59" s="1" t="str">
        <f>_xlfn.CONCAT(YEAR(int_data[[#This Row],[date]]),"-",MONTH(int_data[[#This Row],[date]]))</f>
        <v>2023-2</v>
      </c>
      <c r="C59">
        <v>35.975000000000001</v>
      </c>
      <c r="D59">
        <v>145.80500000000001</v>
      </c>
    </row>
    <row r="60" spans="1:4" x14ac:dyDescent="0.2">
      <c r="A60" s="1">
        <v>44985</v>
      </c>
      <c r="B60" s="1" t="str">
        <f>_xlfn.CONCAT(YEAR(int_data[[#This Row],[date]]),"-",MONTH(int_data[[#This Row],[date]]))</f>
        <v>2023-2</v>
      </c>
      <c r="C60">
        <v>36.29</v>
      </c>
      <c r="D60">
        <v>145.22</v>
      </c>
    </row>
    <row r="61" spans="1:4" x14ac:dyDescent="0.2">
      <c r="A61" s="1">
        <v>44986</v>
      </c>
      <c r="B61" s="1" t="str">
        <f>_xlfn.CONCAT(YEAR(int_data[[#This Row],[date]]),"-",MONTH(int_data[[#This Row],[date]]))</f>
        <v>2023-3</v>
      </c>
      <c r="C61">
        <v>35.64</v>
      </c>
      <c r="D61">
        <v>146.38999999999999</v>
      </c>
    </row>
    <row r="62" spans="1:4" x14ac:dyDescent="0.2">
      <c r="A62" s="1">
        <v>44987</v>
      </c>
      <c r="B62" s="1" t="str">
        <f>_xlfn.CONCAT(YEAR(int_data[[#This Row],[date]]),"-",MONTH(int_data[[#This Row],[date]]))</f>
        <v>2023-3</v>
      </c>
      <c r="C62">
        <v>34.200000000000003</v>
      </c>
      <c r="D62">
        <v>143.88</v>
      </c>
    </row>
    <row r="63" spans="1:4" x14ac:dyDescent="0.2">
      <c r="A63" s="1">
        <v>44988</v>
      </c>
      <c r="B63" s="1" t="str">
        <f>_xlfn.CONCAT(YEAR(int_data[[#This Row],[date]]),"-",MONTH(int_data[[#This Row],[date]]))</f>
        <v>2023-3</v>
      </c>
      <c r="C63">
        <v>33.47</v>
      </c>
      <c r="D63">
        <v>137.52000000000001</v>
      </c>
    </row>
    <row r="64" spans="1:4" x14ac:dyDescent="0.2">
      <c r="A64" s="1">
        <v>44989</v>
      </c>
      <c r="B64" s="1" t="str">
        <f>_xlfn.CONCAT(YEAR(int_data[[#This Row],[date]]),"-",MONTH(int_data[[#This Row],[date]]))</f>
        <v>2023-3</v>
      </c>
      <c r="C64">
        <v>33.92</v>
      </c>
      <c r="D64">
        <v>138.86000000000001</v>
      </c>
    </row>
    <row r="65" spans="1:4" x14ac:dyDescent="0.2">
      <c r="A65" s="1">
        <v>44990</v>
      </c>
      <c r="B65" s="1" t="str">
        <f>_xlfn.CONCAT(YEAR(int_data[[#This Row],[date]]),"-",MONTH(int_data[[#This Row],[date]]))</f>
        <v>2023-3</v>
      </c>
      <c r="C65">
        <v>32.06</v>
      </c>
      <c r="D65">
        <v>132.5</v>
      </c>
    </row>
    <row r="66" spans="1:4" x14ac:dyDescent="0.2">
      <c r="A66" s="1">
        <v>44991</v>
      </c>
      <c r="B66" s="1" t="str">
        <f>_xlfn.CONCAT(YEAR(int_data[[#This Row],[date]]),"-",MONTH(int_data[[#This Row],[date]]))</f>
        <v>2023-3</v>
      </c>
      <c r="C66">
        <v>31.87</v>
      </c>
      <c r="D66">
        <v>132</v>
      </c>
    </row>
    <row r="67" spans="1:4" x14ac:dyDescent="0.2">
      <c r="A67" s="1">
        <v>44992</v>
      </c>
      <c r="B67" s="1" t="str">
        <f>_xlfn.CONCAT(YEAR(int_data[[#This Row],[date]]),"-",MONTH(int_data[[#This Row],[date]]))</f>
        <v>2023-3</v>
      </c>
      <c r="C67">
        <v>30.885000000000002</v>
      </c>
      <c r="D67">
        <v>132.58500000000001</v>
      </c>
    </row>
    <row r="68" spans="1:4" x14ac:dyDescent="0.2">
      <c r="A68" s="1">
        <v>44993</v>
      </c>
      <c r="B68" s="1" t="str">
        <f>_xlfn.CONCAT(YEAR(int_data[[#This Row],[date]]),"-",MONTH(int_data[[#This Row],[date]]))</f>
        <v>2023-3</v>
      </c>
      <c r="C68">
        <v>29.9</v>
      </c>
      <c r="D68">
        <v>133.16999999999999</v>
      </c>
    </row>
    <row r="69" spans="1:4" x14ac:dyDescent="0.2">
      <c r="A69" s="1">
        <v>44994</v>
      </c>
      <c r="B69" s="1" t="str">
        <f>_xlfn.CONCAT(YEAR(int_data[[#This Row],[date]]),"-",MONTH(int_data[[#This Row],[date]]))</f>
        <v>2023-3</v>
      </c>
      <c r="C69">
        <v>29.49</v>
      </c>
      <c r="D69">
        <v>132.5</v>
      </c>
    </row>
    <row r="70" spans="1:4" x14ac:dyDescent="0.2">
      <c r="A70" s="1">
        <v>44995</v>
      </c>
      <c r="B70" s="1" t="str">
        <f>_xlfn.CONCAT(YEAR(int_data[[#This Row],[date]]),"-",MONTH(int_data[[#This Row],[date]]))</f>
        <v>2023-3</v>
      </c>
      <c r="C70">
        <v>29.824999999999999</v>
      </c>
      <c r="D70">
        <v>133.16999999999999</v>
      </c>
    </row>
    <row r="71" spans="1:4" x14ac:dyDescent="0.2">
      <c r="A71" s="1">
        <v>44996</v>
      </c>
      <c r="B71" s="1" t="str">
        <f>_xlfn.CONCAT(YEAR(int_data[[#This Row],[date]]),"-",MONTH(int_data[[#This Row],[date]]))</f>
        <v>2023-3</v>
      </c>
      <c r="C71">
        <v>30.16</v>
      </c>
      <c r="D71">
        <v>133.84</v>
      </c>
    </row>
    <row r="72" spans="1:4" x14ac:dyDescent="0.2">
      <c r="A72" s="1">
        <v>44997</v>
      </c>
      <c r="B72" s="1" t="str">
        <f>_xlfn.CONCAT(YEAR(int_data[[#This Row],[date]]),"-",MONTH(int_data[[#This Row],[date]]))</f>
        <v>2023-3</v>
      </c>
      <c r="C72">
        <v>29.81</v>
      </c>
      <c r="D72">
        <v>131.33000000000001</v>
      </c>
    </row>
    <row r="73" spans="1:4" x14ac:dyDescent="0.2">
      <c r="A73" s="1">
        <v>44998</v>
      </c>
      <c r="B73" s="1" t="str">
        <f>_xlfn.CONCAT(YEAR(int_data[[#This Row],[date]]),"-",MONTH(int_data[[#This Row],[date]]))</f>
        <v>2023-3</v>
      </c>
      <c r="C73">
        <v>29.96</v>
      </c>
      <c r="D73">
        <v>133.84</v>
      </c>
    </row>
    <row r="74" spans="1:4" x14ac:dyDescent="0.2">
      <c r="A74" s="1">
        <v>44999</v>
      </c>
      <c r="B74" s="1" t="str">
        <f>_xlfn.CONCAT(YEAR(int_data[[#This Row],[date]]),"-",MONTH(int_data[[#This Row],[date]]))</f>
        <v>2023-3</v>
      </c>
      <c r="C74">
        <v>29.65</v>
      </c>
      <c r="D74">
        <v>132.33000000000001</v>
      </c>
    </row>
    <row r="75" spans="1:4" x14ac:dyDescent="0.2">
      <c r="A75" s="1">
        <v>45000</v>
      </c>
      <c r="B75" s="1" t="str">
        <f>_xlfn.CONCAT(YEAR(int_data[[#This Row],[date]]),"-",MONTH(int_data[[#This Row],[date]]))</f>
        <v>2023-3</v>
      </c>
      <c r="C75">
        <v>31.03</v>
      </c>
      <c r="D75">
        <v>134.68</v>
      </c>
    </row>
    <row r="76" spans="1:4" x14ac:dyDescent="0.2">
      <c r="A76" s="1">
        <v>45001</v>
      </c>
      <c r="B76" s="1" t="str">
        <f>_xlfn.CONCAT(YEAR(int_data[[#This Row],[date]]),"-",MONTH(int_data[[#This Row],[date]]))</f>
        <v>2023-3</v>
      </c>
      <c r="C76">
        <v>32.04</v>
      </c>
      <c r="D76">
        <v>134.34</v>
      </c>
    </row>
    <row r="77" spans="1:4" x14ac:dyDescent="0.2">
      <c r="A77" s="1">
        <v>45002</v>
      </c>
      <c r="B77" s="1" t="str">
        <f>_xlfn.CONCAT(YEAR(int_data[[#This Row],[date]]),"-",MONTH(int_data[[#This Row],[date]]))</f>
        <v>2023-3</v>
      </c>
      <c r="C77">
        <v>32.89</v>
      </c>
      <c r="D77">
        <v>131.83000000000001</v>
      </c>
    </row>
    <row r="78" spans="1:4" x14ac:dyDescent="0.2">
      <c r="A78" s="1">
        <v>45003</v>
      </c>
      <c r="B78" s="1" t="str">
        <f>_xlfn.CONCAT(YEAR(int_data[[#This Row],[date]]),"-",MONTH(int_data[[#This Row],[date]]))</f>
        <v>2023-3</v>
      </c>
      <c r="C78">
        <v>33.21</v>
      </c>
      <c r="D78">
        <v>133.58500000000001</v>
      </c>
    </row>
    <row r="79" spans="1:4" x14ac:dyDescent="0.2">
      <c r="A79" s="1">
        <v>45004</v>
      </c>
      <c r="B79" s="1" t="str">
        <f>_xlfn.CONCAT(YEAR(int_data[[#This Row],[date]]),"-",MONTH(int_data[[#This Row],[date]]))</f>
        <v>2023-3</v>
      </c>
      <c r="C79">
        <v>33.53</v>
      </c>
      <c r="D79">
        <v>135.34</v>
      </c>
    </row>
    <row r="80" spans="1:4" x14ac:dyDescent="0.2">
      <c r="A80" s="1">
        <v>45005</v>
      </c>
      <c r="B80" s="1" t="str">
        <f>_xlfn.CONCAT(YEAR(int_data[[#This Row],[date]]),"-",MONTH(int_data[[#This Row],[date]]))</f>
        <v>2023-3</v>
      </c>
      <c r="C80">
        <v>33.68</v>
      </c>
      <c r="D80">
        <v>137.19</v>
      </c>
    </row>
    <row r="81" spans="1:4" x14ac:dyDescent="0.2">
      <c r="A81" s="1">
        <v>45006</v>
      </c>
      <c r="B81" s="1" t="str">
        <f>_xlfn.CONCAT(YEAR(int_data[[#This Row],[date]]),"-",MONTH(int_data[[#This Row],[date]]))</f>
        <v>2023-3</v>
      </c>
      <c r="C81">
        <v>33.92</v>
      </c>
      <c r="D81">
        <v>139.28</v>
      </c>
    </row>
    <row r="82" spans="1:4" x14ac:dyDescent="0.2">
      <c r="A82" s="1">
        <v>45007</v>
      </c>
      <c r="B82" s="1" t="str">
        <f>_xlfn.CONCAT(YEAR(int_data[[#This Row],[date]]),"-",MONTH(int_data[[#This Row],[date]]))</f>
        <v>2023-3</v>
      </c>
      <c r="C82">
        <v>34.159999999999997</v>
      </c>
      <c r="D82">
        <v>141.37</v>
      </c>
    </row>
    <row r="83" spans="1:4" x14ac:dyDescent="0.2">
      <c r="A83" s="1">
        <v>45008</v>
      </c>
      <c r="B83" s="1" t="str">
        <f>_xlfn.CONCAT(YEAR(int_data[[#This Row],[date]]),"-",MONTH(int_data[[#This Row],[date]]))</f>
        <v>2023-3</v>
      </c>
      <c r="C83">
        <v>34.97</v>
      </c>
      <c r="D83">
        <v>140.03</v>
      </c>
    </row>
    <row r="84" spans="1:4" x14ac:dyDescent="0.2">
      <c r="A84" s="1">
        <v>45009</v>
      </c>
      <c r="B84" s="1" t="str">
        <f>_xlfn.CONCAT(YEAR(int_data[[#This Row],[date]]),"-",MONTH(int_data[[#This Row],[date]]))</f>
        <v>2023-3</v>
      </c>
      <c r="C84">
        <v>33.85</v>
      </c>
      <c r="D84">
        <v>138.69</v>
      </c>
    </row>
    <row r="85" spans="1:4" x14ac:dyDescent="0.2">
      <c r="A85" s="1">
        <v>45010</v>
      </c>
      <c r="B85" s="1" t="str">
        <f>_xlfn.CONCAT(YEAR(int_data[[#This Row],[date]]),"-",MONTH(int_data[[#This Row],[date]]))</f>
        <v>2023-3</v>
      </c>
      <c r="C85">
        <v>34.01</v>
      </c>
      <c r="D85">
        <v>136.35</v>
      </c>
    </row>
    <row r="86" spans="1:4" x14ac:dyDescent="0.2">
      <c r="A86" s="1">
        <v>45011</v>
      </c>
      <c r="B86" s="1" t="str">
        <f>_xlfn.CONCAT(YEAR(int_data[[#This Row],[date]]),"-",MONTH(int_data[[#This Row],[date]]))</f>
        <v>2023-3</v>
      </c>
      <c r="C86">
        <v>35.69</v>
      </c>
      <c r="D86">
        <v>142.04</v>
      </c>
    </row>
    <row r="87" spans="1:4" x14ac:dyDescent="0.2">
      <c r="A87" s="1">
        <v>45012</v>
      </c>
      <c r="B87" s="1" t="str">
        <f>_xlfn.CONCAT(YEAR(int_data[[#This Row],[date]]),"-",MONTH(int_data[[#This Row],[date]]))</f>
        <v>2023-3</v>
      </c>
      <c r="C87">
        <v>36.770000000000003</v>
      </c>
      <c r="D87">
        <v>140.03</v>
      </c>
    </row>
    <row r="88" spans="1:4" x14ac:dyDescent="0.2">
      <c r="A88" s="1">
        <v>45013</v>
      </c>
      <c r="B88" s="1" t="str">
        <f>_xlfn.CONCAT(YEAR(int_data[[#This Row],[date]]),"-",MONTH(int_data[[#This Row],[date]]))</f>
        <v>2023-3</v>
      </c>
      <c r="C88">
        <v>38.46</v>
      </c>
      <c r="D88">
        <v>139.36000000000001</v>
      </c>
    </row>
    <row r="89" spans="1:4" x14ac:dyDescent="0.2">
      <c r="A89" s="1">
        <v>45014</v>
      </c>
      <c r="B89" s="1" t="str">
        <f>_xlfn.CONCAT(YEAR(int_data[[#This Row],[date]]),"-",MONTH(int_data[[#This Row],[date]]))</f>
        <v>2023-3</v>
      </c>
      <c r="C89">
        <v>38.83</v>
      </c>
      <c r="D89">
        <v>138.69</v>
      </c>
    </row>
    <row r="90" spans="1:4" x14ac:dyDescent="0.2">
      <c r="A90" s="1">
        <v>45015</v>
      </c>
      <c r="B90" s="1" t="str">
        <f>_xlfn.CONCAT(YEAR(int_data[[#This Row],[date]]),"-",MONTH(int_data[[#This Row],[date]]))</f>
        <v>2023-3</v>
      </c>
      <c r="C90">
        <v>39.200000000000003</v>
      </c>
      <c r="D90">
        <v>138.02000000000001</v>
      </c>
    </row>
    <row r="91" spans="1:4" x14ac:dyDescent="0.2">
      <c r="A91" s="1">
        <v>45016</v>
      </c>
      <c r="B91" s="1" t="str">
        <f>_xlfn.CONCAT(YEAR(int_data[[#This Row],[date]]),"-",MONTH(int_data[[#This Row],[date]]))</f>
        <v>2023-3</v>
      </c>
      <c r="C91">
        <v>39.479999999999997</v>
      </c>
      <c r="D91">
        <v>138.86000000000001</v>
      </c>
    </row>
    <row r="92" spans="1:4" x14ac:dyDescent="0.2">
      <c r="A92" s="1">
        <v>45017</v>
      </c>
      <c r="B92" s="1" t="str">
        <f>_xlfn.CONCAT(YEAR(int_data[[#This Row],[date]]),"-",MONTH(int_data[[#This Row],[date]]))</f>
        <v>2023-4</v>
      </c>
      <c r="C92">
        <v>39.405000000000001</v>
      </c>
      <c r="D92">
        <v>139.28</v>
      </c>
    </row>
    <row r="93" spans="1:4" x14ac:dyDescent="0.2">
      <c r="A93" s="1">
        <v>45018</v>
      </c>
      <c r="B93" s="1" t="str">
        <f>_xlfn.CONCAT(YEAR(int_data[[#This Row],[date]]),"-",MONTH(int_data[[#This Row],[date]]))</f>
        <v>2023-4</v>
      </c>
      <c r="C93">
        <v>39.33</v>
      </c>
      <c r="D93">
        <v>139.69999999999999</v>
      </c>
    </row>
    <row r="94" spans="1:4" x14ac:dyDescent="0.2">
      <c r="A94" s="1">
        <v>45019</v>
      </c>
      <c r="B94" s="1" t="str">
        <f>_xlfn.CONCAT(YEAR(int_data[[#This Row],[date]]),"-",MONTH(int_data[[#This Row],[date]]))</f>
        <v>2023-4</v>
      </c>
      <c r="C94">
        <v>39.07</v>
      </c>
      <c r="D94">
        <v>138.52000000000001</v>
      </c>
    </row>
    <row r="95" spans="1:4" x14ac:dyDescent="0.2">
      <c r="A95" s="1">
        <v>45020</v>
      </c>
      <c r="B95" s="1" t="str">
        <f>_xlfn.CONCAT(YEAR(int_data[[#This Row],[date]]),"-",MONTH(int_data[[#This Row],[date]]))</f>
        <v>2023-4</v>
      </c>
      <c r="C95">
        <v>39.19</v>
      </c>
      <c r="D95">
        <v>138.36000000000001</v>
      </c>
    </row>
    <row r="96" spans="1:4" x14ac:dyDescent="0.2">
      <c r="A96" s="1">
        <v>45021</v>
      </c>
      <c r="B96" s="1" t="str">
        <f>_xlfn.CONCAT(YEAR(int_data[[#This Row],[date]]),"-",MONTH(int_data[[#This Row],[date]]))</f>
        <v>2023-4</v>
      </c>
      <c r="C96">
        <v>39.75</v>
      </c>
      <c r="D96">
        <v>135.85</v>
      </c>
    </row>
    <row r="97" spans="1:4" x14ac:dyDescent="0.2">
      <c r="A97" s="1">
        <v>45022</v>
      </c>
      <c r="B97" s="1" t="str">
        <f>_xlfn.CONCAT(YEAR(int_data[[#This Row],[date]]),"-",MONTH(int_data[[#This Row],[date]]))</f>
        <v>2023-4</v>
      </c>
      <c r="C97">
        <v>39.15</v>
      </c>
      <c r="D97">
        <v>135.85</v>
      </c>
    </row>
    <row r="98" spans="1:4" x14ac:dyDescent="0.2">
      <c r="A98" s="1">
        <v>45023</v>
      </c>
      <c r="B98" s="1" t="str">
        <f>_xlfn.CONCAT(YEAR(int_data[[#This Row],[date]]),"-",MONTH(int_data[[#This Row],[date]]))</f>
        <v>2023-4</v>
      </c>
      <c r="C98">
        <v>38.799999999999997</v>
      </c>
      <c r="D98">
        <v>134.68</v>
      </c>
    </row>
    <row r="99" spans="1:4" x14ac:dyDescent="0.2">
      <c r="A99" s="1">
        <v>45024</v>
      </c>
      <c r="B99" s="1" t="str">
        <f>_xlfn.CONCAT(YEAR(int_data[[#This Row],[date]]),"-",MONTH(int_data[[#This Row],[date]]))</f>
        <v>2023-4</v>
      </c>
      <c r="C99">
        <v>37.9</v>
      </c>
      <c r="D99">
        <v>133.84</v>
      </c>
    </row>
    <row r="100" spans="1:4" x14ac:dyDescent="0.2">
      <c r="A100" s="1">
        <v>45025</v>
      </c>
      <c r="B100" s="1" t="str">
        <f>_xlfn.CONCAT(YEAR(int_data[[#This Row],[date]]),"-",MONTH(int_data[[#This Row],[date]]))</f>
        <v>2023-4</v>
      </c>
      <c r="C100">
        <v>38.380000000000003</v>
      </c>
      <c r="D100">
        <v>133.41999999999999</v>
      </c>
    </row>
    <row r="101" spans="1:4" x14ac:dyDescent="0.2">
      <c r="A101" s="1">
        <v>45026</v>
      </c>
      <c r="B101" s="1" t="str">
        <f>_xlfn.CONCAT(YEAR(int_data[[#This Row],[date]]),"-",MONTH(int_data[[#This Row],[date]]))</f>
        <v>2023-4</v>
      </c>
      <c r="C101">
        <v>38.86</v>
      </c>
      <c r="D101">
        <v>133</v>
      </c>
    </row>
    <row r="102" spans="1:4" x14ac:dyDescent="0.2">
      <c r="A102" s="1">
        <v>45027</v>
      </c>
      <c r="B102" s="1" t="str">
        <f>_xlfn.CONCAT(YEAR(int_data[[#This Row],[date]]),"-",MONTH(int_data[[#This Row],[date]]))</f>
        <v>2023-4</v>
      </c>
      <c r="C102">
        <v>37.729999999999997</v>
      </c>
      <c r="D102">
        <v>132.5</v>
      </c>
    </row>
    <row r="103" spans="1:4" x14ac:dyDescent="0.2">
      <c r="A103" s="1">
        <v>45028</v>
      </c>
      <c r="B103" s="1" t="str">
        <f>_xlfn.CONCAT(YEAR(int_data[[#This Row],[date]]),"-",MONTH(int_data[[#This Row],[date]]))</f>
        <v>2023-4</v>
      </c>
      <c r="C103">
        <v>37.479999999999997</v>
      </c>
      <c r="D103">
        <v>133.16999999999999</v>
      </c>
    </row>
    <row r="104" spans="1:4" x14ac:dyDescent="0.2">
      <c r="A104" s="1">
        <v>45029</v>
      </c>
      <c r="B104" s="1" t="str">
        <f>_xlfn.CONCAT(YEAR(int_data[[#This Row],[date]]),"-",MONTH(int_data[[#This Row],[date]]))</f>
        <v>2023-4</v>
      </c>
      <c r="C104">
        <v>37.229999999999997</v>
      </c>
      <c r="D104">
        <v>133.84</v>
      </c>
    </row>
    <row r="105" spans="1:4" x14ac:dyDescent="0.2">
      <c r="A105" s="1">
        <v>45030</v>
      </c>
      <c r="B105" s="1" t="str">
        <f>_xlfn.CONCAT(YEAR(int_data[[#This Row],[date]]),"-",MONTH(int_data[[#This Row],[date]]))</f>
        <v>2023-4</v>
      </c>
      <c r="C105">
        <v>36.19</v>
      </c>
      <c r="D105">
        <v>131</v>
      </c>
    </row>
    <row r="106" spans="1:4" x14ac:dyDescent="0.2">
      <c r="A106" s="1">
        <v>45031</v>
      </c>
      <c r="B106" s="1" t="str">
        <f>_xlfn.CONCAT(YEAR(int_data[[#This Row],[date]]),"-",MONTH(int_data[[#This Row],[date]]))</f>
        <v>2023-4</v>
      </c>
      <c r="C106">
        <v>36.79</v>
      </c>
      <c r="D106">
        <v>134.16999999999999</v>
      </c>
    </row>
    <row r="107" spans="1:4" x14ac:dyDescent="0.2">
      <c r="A107" s="1">
        <v>45032</v>
      </c>
      <c r="B107" s="1" t="str">
        <f>_xlfn.CONCAT(YEAR(int_data[[#This Row],[date]]),"-",MONTH(int_data[[#This Row],[date]]))</f>
        <v>2023-4</v>
      </c>
      <c r="C107">
        <v>36.81</v>
      </c>
      <c r="D107">
        <v>138.86000000000001</v>
      </c>
    </row>
    <row r="108" spans="1:4" x14ac:dyDescent="0.2">
      <c r="A108" s="1">
        <v>45033</v>
      </c>
      <c r="B108" s="1" t="str">
        <f>_xlfn.CONCAT(YEAR(int_data[[#This Row],[date]]),"-",MONTH(int_data[[#This Row],[date]]))</f>
        <v>2023-4</v>
      </c>
      <c r="C108">
        <v>36.51</v>
      </c>
      <c r="D108">
        <v>144.55000000000001</v>
      </c>
    </row>
    <row r="109" spans="1:4" x14ac:dyDescent="0.2">
      <c r="A109" s="1">
        <v>45034</v>
      </c>
      <c r="B109" s="1" t="str">
        <f>_xlfn.CONCAT(YEAR(int_data[[#This Row],[date]]),"-",MONTH(int_data[[#This Row],[date]]))</f>
        <v>2023-4</v>
      </c>
      <c r="C109">
        <v>37.22</v>
      </c>
      <c r="D109">
        <v>146.38999999999999</v>
      </c>
    </row>
    <row r="110" spans="1:4" x14ac:dyDescent="0.2">
      <c r="A110" s="1">
        <v>45035</v>
      </c>
      <c r="B110" s="1" t="str">
        <f>_xlfn.CONCAT(YEAR(int_data[[#This Row],[date]]),"-",MONTH(int_data[[#This Row],[date]]))</f>
        <v>2023-4</v>
      </c>
      <c r="C110">
        <v>37.18</v>
      </c>
      <c r="D110">
        <v>141.37</v>
      </c>
    </row>
    <row r="111" spans="1:4" x14ac:dyDescent="0.2">
      <c r="A111" s="1">
        <v>45036</v>
      </c>
      <c r="B111" s="1" t="str">
        <f>_xlfn.CONCAT(YEAR(int_data[[#This Row],[date]]),"-",MONTH(int_data[[#This Row],[date]]))</f>
        <v>2023-4</v>
      </c>
      <c r="C111">
        <v>37.454999999999998</v>
      </c>
      <c r="D111">
        <v>139.69499999999999</v>
      </c>
    </row>
    <row r="112" spans="1:4" x14ac:dyDescent="0.2">
      <c r="A112" s="1">
        <v>45037</v>
      </c>
      <c r="B112" s="1" t="str">
        <f>_xlfn.CONCAT(YEAR(int_data[[#This Row],[date]]),"-",MONTH(int_data[[#This Row],[date]]))</f>
        <v>2023-4</v>
      </c>
      <c r="C112">
        <v>37.729999999999997</v>
      </c>
      <c r="D112">
        <v>138.02000000000001</v>
      </c>
    </row>
    <row r="113" spans="1:4" x14ac:dyDescent="0.2">
      <c r="A113" s="1">
        <v>45038</v>
      </c>
      <c r="B113" s="1" t="str">
        <f>_xlfn.CONCAT(YEAR(int_data[[#This Row],[date]]),"-",MONTH(int_data[[#This Row],[date]]))</f>
        <v>2023-4</v>
      </c>
      <c r="C113">
        <v>36.700000000000003</v>
      </c>
      <c r="D113">
        <v>138.19</v>
      </c>
    </row>
    <row r="114" spans="1:4" x14ac:dyDescent="0.2">
      <c r="A114" s="1">
        <v>45039</v>
      </c>
      <c r="B114" s="1" t="str">
        <f>_xlfn.CONCAT(YEAR(int_data[[#This Row],[date]]),"-",MONTH(int_data[[#This Row],[date]]))</f>
        <v>2023-4</v>
      </c>
      <c r="C114">
        <v>36.734999999999999</v>
      </c>
      <c r="D114">
        <v>138.86000000000001</v>
      </c>
    </row>
    <row r="115" spans="1:4" x14ac:dyDescent="0.2">
      <c r="A115" s="1">
        <v>45040</v>
      </c>
      <c r="B115" s="1" t="str">
        <f>_xlfn.CONCAT(YEAR(int_data[[#This Row],[date]]),"-",MONTH(int_data[[#This Row],[date]]))</f>
        <v>2023-4</v>
      </c>
      <c r="C115">
        <v>36.770000000000003</v>
      </c>
      <c r="D115">
        <v>139.53</v>
      </c>
    </row>
    <row r="116" spans="1:4" x14ac:dyDescent="0.2">
      <c r="A116" s="1">
        <v>45041</v>
      </c>
      <c r="B116" s="1" t="str">
        <f>_xlfn.CONCAT(YEAR(int_data[[#This Row],[date]]),"-",MONTH(int_data[[#This Row],[date]]))</f>
        <v>2023-4</v>
      </c>
      <c r="C116">
        <v>36.450000000000003</v>
      </c>
      <c r="D116">
        <v>143.38</v>
      </c>
    </row>
    <row r="117" spans="1:4" x14ac:dyDescent="0.2">
      <c r="A117" s="1">
        <v>45042</v>
      </c>
      <c r="B117" s="1" t="str">
        <f>_xlfn.CONCAT(YEAR(int_data[[#This Row],[date]]),"-",MONTH(int_data[[#This Row],[date]]))</f>
        <v>2023-4</v>
      </c>
      <c r="C117">
        <v>36.86</v>
      </c>
      <c r="D117">
        <v>141.03</v>
      </c>
    </row>
    <row r="118" spans="1:4" x14ac:dyDescent="0.2">
      <c r="A118" s="1">
        <v>45043</v>
      </c>
      <c r="B118" s="1" t="str">
        <f>_xlfn.CONCAT(YEAR(int_data[[#This Row],[date]]),"-",MONTH(int_data[[#This Row],[date]]))</f>
        <v>2023-4</v>
      </c>
      <c r="C118">
        <v>37.9</v>
      </c>
      <c r="D118">
        <v>143.71</v>
      </c>
    </row>
    <row r="119" spans="1:4" x14ac:dyDescent="0.2">
      <c r="A119" s="1">
        <v>45044</v>
      </c>
      <c r="B119" s="1" t="str">
        <f>_xlfn.CONCAT(YEAR(int_data[[#This Row],[date]]),"-",MONTH(int_data[[#This Row],[date]]))</f>
        <v>2023-4</v>
      </c>
      <c r="C119">
        <v>38.159999999999997</v>
      </c>
      <c r="D119">
        <v>146.88999999999999</v>
      </c>
    </row>
    <row r="120" spans="1:4" x14ac:dyDescent="0.2">
      <c r="A120" s="1">
        <v>45045</v>
      </c>
      <c r="B120" s="1" t="str">
        <f>_xlfn.CONCAT(YEAR(int_data[[#This Row],[date]]),"-",MONTH(int_data[[#This Row],[date]]))</f>
        <v>2023-4</v>
      </c>
      <c r="C120">
        <v>38.450000000000003</v>
      </c>
      <c r="D120">
        <v>148.9</v>
      </c>
    </row>
    <row r="121" spans="1:4" x14ac:dyDescent="0.2">
      <c r="A121" s="1">
        <v>45046</v>
      </c>
      <c r="B121" s="1" t="str">
        <f>_xlfn.CONCAT(YEAR(int_data[[#This Row],[date]]),"-",MONTH(int_data[[#This Row],[date]]))</f>
        <v>2023-4</v>
      </c>
      <c r="C121">
        <v>37.18</v>
      </c>
      <c r="D121">
        <v>142.37</v>
      </c>
    </row>
    <row r="122" spans="1:4" x14ac:dyDescent="0.2">
      <c r="A122" s="1">
        <v>45047</v>
      </c>
      <c r="B122" s="1" t="str">
        <f>_xlfn.CONCAT(YEAR(int_data[[#This Row],[date]]),"-",MONTH(int_data[[#This Row],[date]]))</f>
        <v>2023-5</v>
      </c>
      <c r="C122">
        <v>37.51</v>
      </c>
      <c r="D122">
        <v>142.285</v>
      </c>
    </row>
    <row r="123" spans="1:4" x14ac:dyDescent="0.2">
      <c r="A123" s="1">
        <v>45048</v>
      </c>
      <c r="B123" s="1" t="str">
        <f>_xlfn.CONCAT(YEAR(int_data[[#This Row],[date]]),"-",MONTH(int_data[[#This Row],[date]]))</f>
        <v>2023-5</v>
      </c>
      <c r="C123">
        <v>37.840000000000003</v>
      </c>
      <c r="D123">
        <v>142.19999999999999</v>
      </c>
    </row>
    <row r="124" spans="1:4" x14ac:dyDescent="0.2">
      <c r="A124" s="1">
        <v>45049</v>
      </c>
      <c r="B124" s="1" t="str">
        <f>_xlfn.CONCAT(YEAR(int_data[[#This Row],[date]]),"-",MONTH(int_data[[#This Row],[date]]))</f>
        <v>2023-5</v>
      </c>
      <c r="C124">
        <v>38.49</v>
      </c>
      <c r="D124">
        <v>142.71</v>
      </c>
    </row>
    <row r="125" spans="1:4" x14ac:dyDescent="0.2">
      <c r="A125" s="1">
        <v>45050</v>
      </c>
      <c r="B125" s="1" t="str">
        <f>_xlfn.CONCAT(YEAR(int_data[[#This Row],[date]]),"-",MONTH(int_data[[#This Row],[date]]))</f>
        <v>2023-5</v>
      </c>
      <c r="C125">
        <v>38.195</v>
      </c>
      <c r="D125">
        <v>141.62</v>
      </c>
    </row>
    <row r="126" spans="1:4" x14ac:dyDescent="0.2">
      <c r="A126" s="1">
        <v>45051</v>
      </c>
      <c r="B126" s="1" t="str">
        <f>_xlfn.CONCAT(YEAR(int_data[[#This Row],[date]]),"-",MONTH(int_data[[#This Row],[date]]))</f>
        <v>2023-5</v>
      </c>
      <c r="C126">
        <v>37.9</v>
      </c>
      <c r="D126">
        <v>140.53</v>
      </c>
    </row>
    <row r="127" spans="1:4" x14ac:dyDescent="0.2">
      <c r="A127" s="1">
        <v>45052</v>
      </c>
      <c r="B127" s="1" t="str">
        <f>_xlfn.CONCAT(YEAR(int_data[[#This Row],[date]]),"-",MONTH(int_data[[#This Row],[date]]))</f>
        <v>2023-5</v>
      </c>
      <c r="C127">
        <v>36.869999999999997</v>
      </c>
      <c r="D127">
        <v>140.69999999999999</v>
      </c>
    </row>
    <row r="128" spans="1:4" x14ac:dyDescent="0.2">
      <c r="A128" s="1">
        <v>45053</v>
      </c>
      <c r="B128" s="1" t="str">
        <f>_xlfn.CONCAT(YEAR(int_data[[#This Row],[date]]),"-",MONTH(int_data[[#This Row],[date]]))</f>
        <v>2023-5</v>
      </c>
      <c r="C128">
        <v>35.14</v>
      </c>
      <c r="D128">
        <v>136.68</v>
      </c>
    </row>
    <row r="129" spans="1:4" x14ac:dyDescent="0.2">
      <c r="A129" s="1">
        <v>45054</v>
      </c>
      <c r="B129" s="1" t="str">
        <f>_xlfn.CONCAT(YEAR(int_data[[#This Row],[date]]),"-",MONTH(int_data[[#This Row],[date]]))</f>
        <v>2023-5</v>
      </c>
      <c r="C129">
        <v>36.15</v>
      </c>
      <c r="D129">
        <v>139.53</v>
      </c>
    </row>
    <row r="130" spans="1:4" x14ac:dyDescent="0.2">
      <c r="A130" s="1">
        <v>45055</v>
      </c>
      <c r="B130" s="1" t="str">
        <f>_xlfn.CONCAT(YEAR(int_data[[#This Row],[date]]),"-",MONTH(int_data[[#This Row],[date]]))</f>
        <v>2023-5</v>
      </c>
      <c r="C130">
        <v>38.67</v>
      </c>
      <c r="D130">
        <v>143.04</v>
      </c>
    </row>
    <row r="131" spans="1:4" x14ac:dyDescent="0.2">
      <c r="A131" s="1">
        <v>45056</v>
      </c>
      <c r="B131" s="1" t="str">
        <f>_xlfn.CONCAT(YEAR(int_data[[#This Row],[date]]),"-",MONTH(int_data[[#This Row],[date]]))</f>
        <v>2023-5</v>
      </c>
      <c r="C131">
        <v>38.67</v>
      </c>
      <c r="D131">
        <v>140.87</v>
      </c>
    </row>
    <row r="132" spans="1:4" x14ac:dyDescent="0.2">
      <c r="A132" s="1">
        <v>45057</v>
      </c>
      <c r="B132" s="1" t="str">
        <f>_xlfn.CONCAT(YEAR(int_data[[#This Row],[date]]),"-",MONTH(int_data[[#This Row],[date]]))</f>
        <v>2023-5</v>
      </c>
      <c r="C132">
        <v>40.380000000000003</v>
      </c>
      <c r="D132">
        <v>141.37</v>
      </c>
    </row>
    <row r="133" spans="1:4" x14ac:dyDescent="0.2">
      <c r="A133" s="1">
        <v>45058</v>
      </c>
      <c r="B133" s="1" t="str">
        <f>_xlfn.CONCAT(YEAR(int_data[[#This Row],[date]]),"-",MONTH(int_data[[#This Row],[date]]))</f>
        <v>2023-5</v>
      </c>
      <c r="C133">
        <v>39.79</v>
      </c>
      <c r="D133">
        <v>141.37</v>
      </c>
    </row>
    <row r="134" spans="1:4" x14ac:dyDescent="0.2">
      <c r="A134" s="1">
        <v>45059</v>
      </c>
      <c r="B134" s="1" t="str">
        <f>_xlfn.CONCAT(YEAR(int_data[[#This Row],[date]]),"-",MONTH(int_data[[#This Row],[date]]))</f>
        <v>2023-5</v>
      </c>
      <c r="C134">
        <v>39.200000000000003</v>
      </c>
      <c r="D134">
        <v>141.37</v>
      </c>
    </row>
    <row r="135" spans="1:4" x14ac:dyDescent="0.2">
      <c r="A135" s="1">
        <v>45060</v>
      </c>
      <c r="B135" s="1" t="str">
        <f>_xlfn.CONCAT(YEAR(int_data[[#This Row],[date]]),"-",MONTH(int_data[[#This Row],[date]]))</f>
        <v>2023-5</v>
      </c>
      <c r="C135">
        <v>39.6</v>
      </c>
      <c r="D135">
        <v>141.03</v>
      </c>
    </row>
    <row r="136" spans="1:4" x14ac:dyDescent="0.2">
      <c r="A136" s="1">
        <v>45061</v>
      </c>
      <c r="B136" s="1" t="str">
        <f>_xlfn.CONCAT(YEAR(int_data[[#This Row],[date]]),"-",MONTH(int_data[[#This Row],[date]]))</f>
        <v>2023-5</v>
      </c>
      <c r="C136">
        <v>39.115000000000002</v>
      </c>
      <c r="D136">
        <v>141.44999999999999</v>
      </c>
    </row>
    <row r="137" spans="1:4" x14ac:dyDescent="0.2">
      <c r="A137" s="1">
        <v>45062</v>
      </c>
      <c r="B137" s="1" t="str">
        <f>_xlfn.CONCAT(YEAR(int_data[[#This Row],[date]]),"-",MONTH(int_data[[#This Row],[date]]))</f>
        <v>2023-5</v>
      </c>
      <c r="C137">
        <v>38.630000000000003</v>
      </c>
      <c r="D137">
        <v>141.87</v>
      </c>
    </row>
    <row r="138" spans="1:4" x14ac:dyDescent="0.2">
      <c r="A138" s="1">
        <v>45063</v>
      </c>
      <c r="B138" s="1" t="str">
        <f>_xlfn.CONCAT(YEAR(int_data[[#This Row],[date]]),"-",MONTH(int_data[[#This Row],[date]]))</f>
        <v>2023-5</v>
      </c>
      <c r="C138">
        <v>37.729999999999997</v>
      </c>
      <c r="D138">
        <v>138.02000000000001</v>
      </c>
    </row>
    <row r="139" spans="1:4" x14ac:dyDescent="0.2">
      <c r="A139" s="1">
        <v>45064</v>
      </c>
      <c r="B139" s="1" t="str">
        <f>_xlfn.CONCAT(YEAR(int_data[[#This Row],[date]]),"-",MONTH(int_data[[#This Row],[date]]))</f>
        <v>2023-5</v>
      </c>
      <c r="C139">
        <v>39.31</v>
      </c>
      <c r="D139">
        <v>141.37</v>
      </c>
    </row>
    <row r="140" spans="1:4" x14ac:dyDescent="0.2">
      <c r="A140" s="1">
        <v>45065</v>
      </c>
      <c r="B140" s="1" t="str">
        <f>_xlfn.CONCAT(YEAR(int_data[[#This Row],[date]]),"-",MONTH(int_data[[#This Row],[date]]))</f>
        <v>2023-5</v>
      </c>
      <c r="C140">
        <v>39.51</v>
      </c>
      <c r="D140">
        <v>145.38</v>
      </c>
    </row>
    <row r="141" spans="1:4" x14ac:dyDescent="0.2">
      <c r="A141" s="1">
        <v>45066</v>
      </c>
      <c r="B141" s="1" t="str">
        <f>_xlfn.CONCAT(YEAR(int_data[[#This Row],[date]]),"-",MONTH(int_data[[#This Row],[date]]))</f>
        <v>2023-5</v>
      </c>
      <c r="C141">
        <v>39.92</v>
      </c>
      <c r="D141">
        <v>146.88999999999999</v>
      </c>
    </row>
    <row r="142" spans="1:4" x14ac:dyDescent="0.2">
      <c r="A142" s="1">
        <v>45067</v>
      </c>
      <c r="B142" s="1" t="str">
        <f>_xlfn.CONCAT(YEAR(int_data[[#This Row],[date]]),"-",MONTH(int_data[[#This Row],[date]]))</f>
        <v>2023-5</v>
      </c>
      <c r="C142">
        <v>40.049999999999997</v>
      </c>
      <c r="D142">
        <v>151.24</v>
      </c>
    </row>
    <row r="143" spans="1:4" x14ac:dyDescent="0.2">
      <c r="A143" s="1">
        <v>45068</v>
      </c>
      <c r="B143" s="1" t="str">
        <f>_xlfn.CONCAT(YEAR(int_data[[#This Row],[date]]),"-",MONTH(int_data[[#This Row],[date]]))</f>
        <v>2023-5</v>
      </c>
      <c r="C143">
        <v>39.869999999999997</v>
      </c>
      <c r="D143">
        <v>152.74</v>
      </c>
    </row>
    <row r="144" spans="1:4" x14ac:dyDescent="0.2">
      <c r="A144" s="1">
        <v>45069</v>
      </c>
      <c r="B144" s="1" t="str">
        <f>_xlfn.CONCAT(YEAR(int_data[[#This Row],[date]]),"-",MONTH(int_data[[#This Row],[date]]))</f>
        <v>2023-5</v>
      </c>
      <c r="C144">
        <v>40.424999999999997</v>
      </c>
      <c r="D144">
        <v>152.07499999999999</v>
      </c>
    </row>
    <row r="145" spans="1:4" x14ac:dyDescent="0.2">
      <c r="A145" s="1">
        <v>45070</v>
      </c>
      <c r="B145" s="1" t="str">
        <f>_xlfn.CONCAT(YEAR(int_data[[#This Row],[date]]),"-",MONTH(int_data[[#This Row],[date]]))</f>
        <v>2023-5</v>
      </c>
      <c r="C145">
        <v>40.98</v>
      </c>
      <c r="D145">
        <v>151.41</v>
      </c>
    </row>
    <row r="146" spans="1:4" x14ac:dyDescent="0.2">
      <c r="A146" s="1">
        <v>45071</v>
      </c>
      <c r="B146" s="1" t="str">
        <f>_xlfn.CONCAT(YEAR(int_data[[#This Row],[date]]),"-",MONTH(int_data[[#This Row],[date]]))</f>
        <v>2023-5</v>
      </c>
      <c r="C146">
        <v>40.869999999999997</v>
      </c>
      <c r="D146">
        <v>150.07</v>
      </c>
    </row>
    <row r="147" spans="1:4" x14ac:dyDescent="0.2">
      <c r="A147" s="1">
        <v>45072</v>
      </c>
      <c r="B147" s="1" t="str">
        <f>_xlfn.CONCAT(YEAR(int_data[[#This Row],[date]]),"-",MONTH(int_data[[#This Row],[date]]))</f>
        <v>2023-5</v>
      </c>
      <c r="C147">
        <v>40.125</v>
      </c>
      <c r="D147">
        <v>147.38999999999999</v>
      </c>
    </row>
    <row r="148" spans="1:4" x14ac:dyDescent="0.2">
      <c r="A148" s="1">
        <v>45073</v>
      </c>
      <c r="B148" s="1" t="str">
        <f>_xlfn.CONCAT(YEAR(int_data[[#This Row],[date]]),"-",MONTH(int_data[[#This Row],[date]]))</f>
        <v>2023-5</v>
      </c>
      <c r="C148">
        <v>39.380000000000003</v>
      </c>
      <c r="D148">
        <v>144.71</v>
      </c>
    </row>
    <row r="149" spans="1:4" x14ac:dyDescent="0.2">
      <c r="A149" s="1">
        <v>45074</v>
      </c>
      <c r="B149" s="1" t="str">
        <f>_xlfn.CONCAT(YEAR(int_data[[#This Row],[date]]),"-",MONTH(int_data[[#This Row],[date]]))</f>
        <v>2023-5</v>
      </c>
      <c r="C149">
        <v>41.14</v>
      </c>
      <c r="D149">
        <v>150.57</v>
      </c>
    </row>
    <row r="150" spans="1:4" x14ac:dyDescent="0.2">
      <c r="A150" s="1">
        <v>45075</v>
      </c>
      <c r="B150" s="1" t="str">
        <f>_xlfn.CONCAT(YEAR(int_data[[#This Row],[date]]),"-",MONTH(int_data[[#This Row],[date]]))</f>
        <v>2023-5</v>
      </c>
      <c r="C150">
        <v>40.869999999999997</v>
      </c>
      <c r="D150">
        <v>148.56</v>
      </c>
    </row>
    <row r="151" spans="1:4" x14ac:dyDescent="0.2">
      <c r="A151" s="1">
        <v>45076</v>
      </c>
      <c r="B151" s="1" t="str">
        <f>_xlfn.CONCAT(YEAR(int_data[[#This Row],[date]]),"-",MONTH(int_data[[#This Row],[date]]))</f>
        <v>2023-5</v>
      </c>
      <c r="C151">
        <v>41.12</v>
      </c>
      <c r="D151">
        <v>147.72999999999999</v>
      </c>
    </row>
    <row r="152" spans="1:4" x14ac:dyDescent="0.2">
      <c r="A152" s="1">
        <v>45077</v>
      </c>
      <c r="B152" s="1" t="str">
        <f>_xlfn.CONCAT(YEAR(int_data[[#This Row],[date]]),"-",MONTH(int_data[[#This Row],[date]]))</f>
        <v>2023-5</v>
      </c>
      <c r="C152">
        <v>41.13</v>
      </c>
      <c r="D152">
        <v>152.91</v>
      </c>
    </row>
    <row r="153" spans="1:4" x14ac:dyDescent="0.2">
      <c r="A153" s="1">
        <v>45078</v>
      </c>
      <c r="B153" s="1" t="str">
        <f>_xlfn.CONCAT(YEAR(int_data[[#This Row],[date]]),"-",MONTH(int_data[[#This Row],[date]]))</f>
        <v>2023-6</v>
      </c>
      <c r="C153">
        <v>42.04</v>
      </c>
      <c r="D153">
        <v>156.76</v>
      </c>
    </row>
    <row r="154" spans="1:4" x14ac:dyDescent="0.2">
      <c r="A154" s="1">
        <v>45079</v>
      </c>
      <c r="B154" s="1" t="str">
        <f>_xlfn.CONCAT(YEAR(int_data[[#This Row],[date]]),"-",MONTH(int_data[[#This Row],[date]]))</f>
        <v>2023-6</v>
      </c>
      <c r="C154">
        <v>42.854999999999997</v>
      </c>
      <c r="D154">
        <v>154.58500000000001</v>
      </c>
    </row>
    <row r="155" spans="1:4" x14ac:dyDescent="0.2">
      <c r="A155" s="1">
        <v>45080</v>
      </c>
      <c r="B155" s="1" t="str">
        <f>_xlfn.CONCAT(YEAR(int_data[[#This Row],[date]]),"-",MONTH(int_data[[#This Row],[date]]))</f>
        <v>2023-6</v>
      </c>
      <c r="C155">
        <v>43.67</v>
      </c>
      <c r="D155">
        <v>152.41</v>
      </c>
    </row>
    <row r="156" spans="1:4" x14ac:dyDescent="0.2">
      <c r="A156" s="1">
        <v>45081</v>
      </c>
      <c r="B156" s="1" t="str">
        <f>_xlfn.CONCAT(YEAR(int_data[[#This Row],[date]]),"-",MONTH(int_data[[#This Row],[date]]))</f>
        <v>2023-6</v>
      </c>
      <c r="C156">
        <v>43.03</v>
      </c>
      <c r="D156">
        <v>155.41999999999999</v>
      </c>
    </row>
    <row r="157" spans="1:4" x14ac:dyDescent="0.2">
      <c r="A157" s="1">
        <v>45082</v>
      </c>
      <c r="B157" s="1" t="str">
        <f>_xlfn.CONCAT(YEAR(int_data[[#This Row],[date]]),"-",MONTH(int_data[[#This Row],[date]]))</f>
        <v>2023-6</v>
      </c>
      <c r="C157">
        <v>42.38</v>
      </c>
      <c r="D157">
        <v>155.08500000000001</v>
      </c>
    </row>
    <row r="158" spans="1:4" x14ac:dyDescent="0.2">
      <c r="A158" s="1">
        <v>45083</v>
      </c>
      <c r="B158" s="1" t="str">
        <f>_xlfn.CONCAT(YEAR(int_data[[#This Row],[date]]),"-",MONTH(int_data[[#This Row],[date]]))</f>
        <v>2023-6</v>
      </c>
      <c r="C158">
        <v>41.73</v>
      </c>
      <c r="D158">
        <v>154.75</v>
      </c>
    </row>
    <row r="159" spans="1:4" x14ac:dyDescent="0.2">
      <c r="A159" s="1">
        <v>45084</v>
      </c>
      <c r="B159" s="1" t="str">
        <f>_xlfn.CONCAT(YEAR(int_data[[#This Row],[date]]),"-",MONTH(int_data[[#This Row],[date]]))</f>
        <v>2023-6</v>
      </c>
      <c r="C159">
        <v>42.35</v>
      </c>
      <c r="D159">
        <v>153.75</v>
      </c>
    </row>
    <row r="160" spans="1:4" x14ac:dyDescent="0.2">
      <c r="A160" s="1">
        <v>45085</v>
      </c>
      <c r="B160" s="1" t="str">
        <f>_xlfn.CONCAT(YEAR(int_data[[#This Row],[date]]),"-",MONTH(int_data[[#This Row],[date]]))</f>
        <v>2023-6</v>
      </c>
      <c r="C160">
        <v>42.734999999999999</v>
      </c>
      <c r="D160">
        <v>153.83000000000001</v>
      </c>
    </row>
    <row r="161" spans="1:4" x14ac:dyDescent="0.2">
      <c r="A161" s="1">
        <v>45086</v>
      </c>
      <c r="B161" s="1" t="str">
        <f>_xlfn.CONCAT(YEAR(int_data[[#This Row],[date]]),"-",MONTH(int_data[[#This Row],[date]]))</f>
        <v>2023-6</v>
      </c>
      <c r="C161">
        <v>43.12</v>
      </c>
      <c r="D161">
        <v>153.91</v>
      </c>
    </row>
    <row r="162" spans="1:4" x14ac:dyDescent="0.2">
      <c r="A162" s="1">
        <v>45087</v>
      </c>
      <c r="B162" s="1" t="str">
        <f>_xlfn.CONCAT(YEAR(int_data[[#This Row],[date]]),"-",MONTH(int_data[[#This Row],[date]]))</f>
        <v>2023-6</v>
      </c>
      <c r="C162">
        <v>43.99</v>
      </c>
      <c r="D162">
        <v>158.93</v>
      </c>
    </row>
    <row r="163" spans="1:4" x14ac:dyDescent="0.2">
      <c r="A163" s="1">
        <v>45088</v>
      </c>
      <c r="B163" s="1" t="str">
        <f>_xlfn.CONCAT(YEAR(int_data[[#This Row],[date]]),"-",MONTH(int_data[[#This Row],[date]]))</f>
        <v>2023-6</v>
      </c>
      <c r="C163">
        <v>44.36</v>
      </c>
      <c r="D163">
        <v>159.77000000000001</v>
      </c>
    </row>
    <row r="164" spans="1:4" x14ac:dyDescent="0.2">
      <c r="A164" s="1">
        <v>45089</v>
      </c>
      <c r="B164" s="1" t="str">
        <f>_xlfn.CONCAT(YEAR(int_data[[#This Row],[date]]),"-",MONTH(int_data[[#This Row],[date]]))</f>
        <v>2023-6</v>
      </c>
      <c r="C164">
        <v>44.73</v>
      </c>
      <c r="D164">
        <v>160.61000000000001</v>
      </c>
    </row>
    <row r="165" spans="1:4" x14ac:dyDescent="0.2">
      <c r="A165" s="1">
        <v>45090</v>
      </c>
      <c r="B165" s="1" t="str">
        <f>_xlfn.CONCAT(YEAR(int_data[[#This Row],[date]]),"-",MONTH(int_data[[#This Row],[date]]))</f>
        <v>2023-6</v>
      </c>
      <c r="C165">
        <v>46.77</v>
      </c>
      <c r="D165">
        <v>169.39</v>
      </c>
    </row>
    <row r="166" spans="1:4" x14ac:dyDescent="0.2">
      <c r="A166" s="1">
        <v>45091</v>
      </c>
      <c r="B166" s="1" t="str">
        <f>_xlfn.CONCAT(YEAR(int_data[[#This Row],[date]]),"-",MONTH(int_data[[#This Row],[date]]))</f>
        <v>2023-6</v>
      </c>
      <c r="C166">
        <v>47.55</v>
      </c>
      <c r="D166">
        <v>165.96</v>
      </c>
    </row>
    <row r="167" spans="1:4" x14ac:dyDescent="0.2">
      <c r="A167" s="1">
        <v>45092</v>
      </c>
      <c r="B167" s="1" t="str">
        <f>_xlfn.CONCAT(YEAR(int_data[[#This Row],[date]]),"-",MONTH(int_data[[#This Row],[date]]))</f>
        <v>2023-6</v>
      </c>
      <c r="C167">
        <v>47.57</v>
      </c>
      <c r="D167">
        <v>168.97</v>
      </c>
    </row>
    <row r="168" spans="1:4" x14ac:dyDescent="0.2">
      <c r="A168" s="1">
        <v>45093</v>
      </c>
      <c r="B168" s="1" t="str">
        <f>_xlfn.CONCAT(YEAR(int_data[[#This Row],[date]]),"-",MONTH(int_data[[#This Row],[date]]))</f>
        <v>2023-6</v>
      </c>
      <c r="C168">
        <v>48.18</v>
      </c>
      <c r="D168">
        <v>168.97</v>
      </c>
    </row>
    <row r="169" spans="1:4" x14ac:dyDescent="0.2">
      <c r="A169" s="1">
        <v>45094</v>
      </c>
      <c r="B169" s="1" t="str">
        <f>_xlfn.CONCAT(YEAR(int_data[[#This Row],[date]]),"-",MONTH(int_data[[#This Row],[date]]))</f>
        <v>2023-6</v>
      </c>
      <c r="C169">
        <v>49.11</v>
      </c>
      <c r="D169">
        <v>169.39</v>
      </c>
    </row>
    <row r="170" spans="1:4" x14ac:dyDescent="0.2">
      <c r="A170" s="1">
        <v>45095</v>
      </c>
      <c r="B170" s="1" t="str">
        <f>_xlfn.CONCAT(YEAR(int_data[[#This Row],[date]]),"-",MONTH(int_data[[#This Row],[date]]))</f>
        <v>2023-6</v>
      </c>
      <c r="C170">
        <v>49.674999999999997</v>
      </c>
      <c r="D170">
        <v>168.76499999999999</v>
      </c>
    </row>
    <row r="171" spans="1:4" x14ac:dyDescent="0.2">
      <c r="A171" s="1">
        <v>45096</v>
      </c>
      <c r="B171" s="1" t="str">
        <f>_xlfn.CONCAT(YEAR(int_data[[#This Row],[date]]),"-",MONTH(int_data[[#This Row],[date]]))</f>
        <v>2023-6</v>
      </c>
      <c r="C171">
        <v>50.24</v>
      </c>
      <c r="D171">
        <v>168.14</v>
      </c>
    </row>
    <row r="172" spans="1:4" x14ac:dyDescent="0.2">
      <c r="A172" s="1">
        <v>45097</v>
      </c>
      <c r="B172" s="1" t="str">
        <f>_xlfn.CONCAT(YEAR(int_data[[#This Row],[date]]),"-",MONTH(int_data[[#This Row],[date]]))</f>
        <v>2023-6</v>
      </c>
      <c r="C172">
        <v>49.9</v>
      </c>
      <c r="D172">
        <v>168.97</v>
      </c>
    </row>
    <row r="173" spans="1:4" x14ac:dyDescent="0.2">
      <c r="A173" s="1">
        <v>45098</v>
      </c>
      <c r="B173" s="1" t="str">
        <f>_xlfn.CONCAT(YEAR(int_data[[#This Row],[date]]),"-",MONTH(int_data[[#This Row],[date]]))</f>
        <v>2023-6</v>
      </c>
      <c r="C173">
        <v>49.42</v>
      </c>
      <c r="D173">
        <v>169.18</v>
      </c>
    </row>
    <row r="174" spans="1:4" x14ac:dyDescent="0.2">
      <c r="A174" s="1">
        <v>45099</v>
      </c>
      <c r="B174" s="1" t="str">
        <f>_xlfn.CONCAT(YEAR(int_data[[#This Row],[date]]),"-",MONTH(int_data[[#This Row],[date]]))</f>
        <v>2023-6</v>
      </c>
      <c r="C174">
        <v>48.94</v>
      </c>
      <c r="D174">
        <v>169.39</v>
      </c>
    </row>
    <row r="175" spans="1:4" x14ac:dyDescent="0.2">
      <c r="A175" s="1">
        <v>45100</v>
      </c>
      <c r="B175" s="1" t="str">
        <f>_xlfn.CONCAT(YEAR(int_data[[#This Row],[date]]),"-",MONTH(int_data[[#This Row],[date]]))</f>
        <v>2023-6</v>
      </c>
      <c r="C175">
        <v>50.04</v>
      </c>
      <c r="D175">
        <v>167.3</v>
      </c>
    </row>
    <row r="176" spans="1:4" x14ac:dyDescent="0.2">
      <c r="A176" s="1">
        <v>45101</v>
      </c>
      <c r="B176" s="1" t="str">
        <f>_xlfn.CONCAT(YEAR(int_data[[#This Row],[date]]),"-",MONTH(int_data[[#This Row],[date]]))</f>
        <v>2023-6</v>
      </c>
      <c r="C176">
        <v>49.72</v>
      </c>
      <c r="D176">
        <v>168.55</v>
      </c>
    </row>
    <row r="177" spans="1:4" x14ac:dyDescent="0.2">
      <c r="A177" s="1">
        <v>45102</v>
      </c>
      <c r="B177" s="1" t="str">
        <f>_xlfn.CONCAT(YEAR(int_data[[#This Row],[date]]),"-",MONTH(int_data[[#This Row],[date]]))</f>
        <v>2023-6</v>
      </c>
      <c r="C177">
        <v>49.17</v>
      </c>
      <c r="D177">
        <v>165.96</v>
      </c>
    </row>
    <row r="178" spans="1:4" x14ac:dyDescent="0.2">
      <c r="A178" s="1">
        <v>45103</v>
      </c>
      <c r="B178" s="1" t="str">
        <f>_xlfn.CONCAT(YEAR(int_data[[#This Row],[date]]),"-",MONTH(int_data[[#This Row],[date]]))</f>
        <v>2023-6</v>
      </c>
      <c r="C178">
        <v>50.59</v>
      </c>
      <c r="D178">
        <v>164.79</v>
      </c>
    </row>
    <row r="179" spans="1:4" x14ac:dyDescent="0.2">
      <c r="A179" s="1">
        <v>45104</v>
      </c>
      <c r="B179" s="1" t="str">
        <f>_xlfn.CONCAT(YEAR(int_data[[#This Row],[date]]),"-",MONTH(int_data[[#This Row],[date]]))</f>
        <v>2023-6</v>
      </c>
      <c r="C179">
        <v>50.57</v>
      </c>
      <c r="D179">
        <v>163.12</v>
      </c>
    </row>
    <row r="180" spans="1:4" x14ac:dyDescent="0.2">
      <c r="A180" s="1">
        <v>45105</v>
      </c>
      <c r="B180" s="1" t="str">
        <f>_xlfn.CONCAT(YEAR(int_data[[#This Row],[date]]),"-",MONTH(int_data[[#This Row],[date]]))</f>
        <v>2023-6</v>
      </c>
      <c r="C180">
        <v>50.45</v>
      </c>
      <c r="D180">
        <v>167.13</v>
      </c>
    </row>
    <row r="181" spans="1:4" x14ac:dyDescent="0.2">
      <c r="A181" s="1">
        <v>45106</v>
      </c>
      <c r="B181" s="1" t="str">
        <f>_xlfn.CONCAT(YEAR(int_data[[#This Row],[date]]),"-",MONTH(int_data[[#This Row],[date]]))</f>
        <v>2023-6</v>
      </c>
      <c r="C181">
        <v>50.26</v>
      </c>
      <c r="D181">
        <v>165.54</v>
      </c>
    </row>
    <row r="182" spans="1:4" x14ac:dyDescent="0.2">
      <c r="A182" s="1">
        <v>45107</v>
      </c>
      <c r="B182" s="1" t="str">
        <f>_xlfn.CONCAT(YEAR(int_data[[#This Row],[date]]),"-",MONTH(int_data[[#This Row],[date]]))</f>
        <v>2023-6</v>
      </c>
      <c r="C182">
        <v>50.07</v>
      </c>
      <c r="D182">
        <v>163.95</v>
      </c>
    </row>
    <row r="183" spans="1:4" x14ac:dyDescent="0.2">
      <c r="A183" s="1">
        <v>45108</v>
      </c>
      <c r="B183" s="1" t="str">
        <f>_xlfn.CONCAT(YEAR(int_data[[#This Row],[date]]),"-",MONTH(int_data[[#This Row],[date]]))</f>
        <v>2023-7</v>
      </c>
      <c r="C183">
        <v>49.98</v>
      </c>
      <c r="D183">
        <v>159.94</v>
      </c>
    </row>
    <row r="184" spans="1:4" x14ac:dyDescent="0.2">
      <c r="A184" s="1">
        <v>45109</v>
      </c>
      <c r="B184" s="1" t="str">
        <f>_xlfn.CONCAT(YEAR(int_data[[#This Row],[date]]),"-",MONTH(int_data[[#This Row],[date]]))</f>
        <v>2023-7</v>
      </c>
      <c r="C184">
        <v>50.024999999999999</v>
      </c>
      <c r="D184">
        <v>163.37</v>
      </c>
    </row>
    <row r="185" spans="1:4" x14ac:dyDescent="0.2">
      <c r="A185" s="1">
        <v>45110</v>
      </c>
      <c r="B185" s="1" t="str">
        <f>_xlfn.CONCAT(YEAR(int_data[[#This Row],[date]]),"-",MONTH(int_data[[#This Row],[date]]))</f>
        <v>2023-7</v>
      </c>
      <c r="C185">
        <v>50.07</v>
      </c>
      <c r="D185">
        <v>166.8</v>
      </c>
    </row>
    <row r="186" spans="1:4" x14ac:dyDescent="0.2">
      <c r="A186" s="1">
        <v>45111</v>
      </c>
      <c r="B186" s="1" t="str">
        <f>_xlfn.CONCAT(YEAR(int_data[[#This Row],[date]]),"-",MONTH(int_data[[#This Row],[date]]))</f>
        <v>2023-7</v>
      </c>
      <c r="C186">
        <v>51.6</v>
      </c>
      <c r="D186">
        <v>167.3</v>
      </c>
    </row>
    <row r="187" spans="1:4" x14ac:dyDescent="0.2">
      <c r="A187" s="1">
        <v>45112</v>
      </c>
      <c r="B187" s="1" t="str">
        <f>_xlfn.CONCAT(YEAR(int_data[[#This Row],[date]]),"-",MONTH(int_data[[#This Row],[date]]))</f>
        <v>2023-7</v>
      </c>
      <c r="C187">
        <v>50.99</v>
      </c>
      <c r="D187">
        <v>163.12</v>
      </c>
    </row>
    <row r="188" spans="1:4" x14ac:dyDescent="0.2">
      <c r="A188" s="1">
        <v>45113</v>
      </c>
      <c r="B188" s="1" t="str">
        <f>_xlfn.CONCAT(YEAR(int_data[[#This Row],[date]]),"-",MONTH(int_data[[#This Row],[date]]))</f>
        <v>2023-7</v>
      </c>
      <c r="C188">
        <v>48.54</v>
      </c>
      <c r="D188">
        <v>158.1</v>
      </c>
    </row>
    <row r="189" spans="1:4" x14ac:dyDescent="0.2">
      <c r="A189" s="1">
        <v>45114</v>
      </c>
      <c r="B189" s="1" t="str">
        <f>_xlfn.CONCAT(YEAR(int_data[[#This Row],[date]]),"-",MONTH(int_data[[#This Row],[date]]))</f>
        <v>2023-7</v>
      </c>
      <c r="C189">
        <v>49.53</v>
      </c>
      <c r="D189">
        <v>158.1</v>
      </c>
    </row>
    <row r="190" spans="1:4" x14ac:dyDescent="0.2">
      <c r="A190" s="1">
        <v>45115</v>
      </c>
      <c r="B190" s="1" t="str">
        <f>_xlfn.CONCAT(YEAR(int_data[[#This Row],[date]]),"-",MONTH(int_data[[#This Row],[date]]))</f>
        <v>2023-7</v>
      </c>
      <c r="C190">
        <v>51.62</v>
      </c>
      <c r="D190">
        <v>159.77000000000001</v>
      </c>
    </row>
    <row r="191" spans="1:4" x14ac:dyDescent="0.2">
      <c r="A191" s="1">
        <v>45116</v>
      </c>
      <c r="B191" s="1" t="str">
        <f>_xlfn.CONCAT(YEAR(int_data[[#This Row],[date]]),"-",MONTH(int_data[[#This Row],[date]]))</f>
        <v>2023-7</v>
      </c>
      <c r="C191">
        <v>51.15</v>
      </c>
      <c r="D191">
        <v>162.44999999999999</v>
      </c>
    </row>
    <row r="192" spans="1:4" x14ac:dyDescent="0.2">
      <c r="A192" s="1">
        <v>45117</v>
      </c>
      <c r="B192" s="1" t="str">
        <f>_xlfn.CONCAT(YEAR(int_data[[#This Row],[date]]),"-",MONTH(int_data[[#This Row],[date]]))</f>
        <v>2023-7</v>
      </c>
      <c r="C192">
        <v>50.66</v>
      </c>
      <c r="D192">
        <v>165.08500000000001</v>
      </c>
    </row>
    <row r="193" spans="1:4" x14ac:dyDescent="0.2">
      <c r="A193" s="1">
        <v>45118</v>
      </c>
      <c r="B193" s="1" t="str">
        <f>_xlfn.CONCAT(YEAR(int_data[[#This Row],[date]]),"-",MONTH(int_data[[#This Row],[date]]))</f>
        <v>2023-7</v>
      </c>
      <c r="C193">
        <v>50.17</v>
      </c>
      <c r="D193">
        <v>167.72</v>
      </c>
    </row>
    <row r="194" spans="1:4" x14ac:dyDescent="0.2">
      <c r="A194" s="1">
        <v>45119</v>
      </c>
      <c r="B194" s="1" t="str">
        <f>_xlfn.CONCAT(YEAR(int_data[[#This Row],[date]]),"-",MONTH(int_data[[#This Row],[date]]))</f>
        <v>2023-7</v>
      </c>
      <c r="C194">
        <v>48.42</v>
      </c>
      <c r="D194">
        <v>166.46</v>
      </c>
    </row>
    <row r="195" spans="1:4" x14ac:dyDescent="0.2">
      <c r="A195" s="1">
        <v>45120</v>
      </c>
      <c r="B195" s="1" t="str">
        <f>_xlfn.CONCAT(YEAR(int_data[[#This Row],[date]]),"-",MONTH(int_data[[#This Row],[date]]))</f>
        <v>2023-7</v>
      </c>
      <c r="C195">
        <v>47.47</v>
      </c>
      <c r="D195">
        <v>165.29</v>
      </c>
    </row>
    <row r="196" spans="1:4" x14ac:dyDescent="0.2">
      <c r="A196" s="1">
        <v>45121</v>
      </c>
      <c r="B196" s="1" t="str">
        <f>_xlfn.CONCAT(YEAR(int_data[[#This Row],[date]]),"-",MONTH(int_data[[#This Row],[date]]))</f>
        <v>2023-7</v>
      </c>
      <c r="C196">
        <v>46.52</v>
      </c>
      <c r="D196">
        <v>164.12</v>
      </c>
    </row>
    <row r="197" spans="1:4" x14ac:dyDescent="0.2">
      <c r="A197" s="1">
        <v>45122</v>
      </c>
      <c r="B197" s="1" t="str">
        <f>_xlfn.CONCAT(YEAR(int_data[[#This Row],[date]]),"-",MONTH(int_data[[#This Row],[date]]))</f>
        <v>2023-7</v>
      </c>
      <c r="C197">
        <v>47.81</v>
      </c>
      <c r="D197">
        <v>162.61000000000001</v>
      </c>
    </row>
    <row r="198" spans="1:4" x14ac:dyDescent="0.2">
      <c r="A198" s="1">
        <v>45123</v>
      </c>
      <c r="B198" s="1" t="str">
        <f>_xlfn.CONCAT(YEAR(int_data[[#This Row],[date]]),"-",MONTH(int_data[[#This Row],[date]]))</f>
        <v>2023-7</v>
      </c>
      <c r="C198">
        <v>47.844999999999999</v>
      </c>
      <c r="D198">
        <v>164.95500000000001</v>
      </c>
    </row>
    <row r="199" spans="1:4" x14ac:dyDescent="0.2">
      <c r="A199" s="1">
        <v>45124</v>
      </c>
      <c r="B199" s="1" t="str">
        <f>_xlfn.CONCAT(YEAR(int_data[[#This Row],[date]]),"-",MONTH(int_data[[#This Row],[date]]))</f>
        <v>2023-7</v>
      </c>
      <c r="C199">
        <v>47.88</v>
      </c>
      <c r="D199">
        <v>167.3</v>
      </c>
    </row>
    <row r="200" spans="1:4" x14ac:dyDescent="0.2">
      <c r="A200" s="1">
        <v>45125</v>
      </c>
      <c r="B200" s="1" t="str">
        <f>_xlfn.CONCAT(YEAR(int_data[[#This Row],[date]]),"-",MONTH(int_data[[#This Row],[date]]))</f>
        <v>2023-7</v>
      </c>
      <c r="C200">
        <v>46.91</v>
      </c>
      <c r="D200">
        <v>161.94999999999999</v>
      </c>
    </row>
    <row r="201" spans="1:4" x14ac:dyDescent="0.2">
      <c r="A201" s="1">
        <v>45126</v>
      </c>
      <c r="B201" s="1" t="str">
        <f>_xlfn.CONCAT(YEAR(int_data[[#This Row],[date]]),"-",MONTH(int_data[[#This Row],[date]]))</f>
        <v>2023-7</v>
      </c>
      <c r="C201">
        <v>46.52</v>
      </c>
      <c r="D201">
        <v>157.93</v>
      </c>
    </row>
    <row r="202" spans="1:4" x14ac:dyDescent="0.2">
      <c r="A202" s="1">
        <v>45127</v>
      </c>
      <c r="B202" s="1" t="str">
        <f>_xlfn.CONCAT(YEAR(int_data[[#This Row],[date]]),"-",MONTH(int_data[[#This Row],[date]]))</f>
        <v>2023-7</v>
      </c>
      <c r="C202">
        <v>46.445</v>
      </c>
      <c r="D202">
        <v>158.85</v>
      </c>
    </row>
    <row r="203" spans="1:4" x14ac:dyDescent="0.2">
      <c r="A203" s="1">
        <v>45128</v>
      </c>
      <c r="B203" s="1" t="str">
        <f>_xlfn.CONCAT(YEAR(int_data[[#This Row],[date]]),"-",MONTH(int_data[[#This Row],[date]]))</f>
        <v>2023-7</v>
      </c>
      <c r="C203">
        <v>46.37</v>
      </c>
      <c r="D203">
        <v>159.77000000000001</v>
      </c>
    </row>
    <row r="204" spans="1:4" x14ac:dyDescent="0.2">
      <c r="A204" s="1">
        <v>45129</v>
      </c>
      <c r="B204" s="1" t="str">
        <f>_xlfn.CONCAT(YEAR(int_data[[#This Row],[date]]),"-",MONTH(int_data[[#This Row],[date]]))</f>
        <v>2023-7</v>
      </c>
      <c r="C204">
        <v>45.57</v>
      </c>
      <c r="D204">
        <v>155.59</v>
      </c>
    </row>
    <row r="205" spans="1:4" x14ac:dyDescent="0.2">
      <c r="A205" s="1">
        <v>45130</v>
      </c>
      <c r="B205" s="1" t="str">
        <f>_xlfn.CONCAT(YEAR(int_data[[#This Row],[date]]),"-",MONTH(int_data[[#This Row],[date]]))</f>
        <v>2023-7</v>
      </c>
      <c r="C205">
        <v>47.55</v>
      </c>
      <c r="D205">
        <v>159.77000000000001</v>
      </c>
    </row>
    <row r="206" spans="1:4" x14ac:dyDescent="0.2">
      <c r="A206" s="1">
        <v>45131</v>
      </c>
      <c r="B206" s="1" t="str">
        <f>_xlfn.CONCAT(YEAR(int_data[[#This Row],[date]]),"-",MONTH(int_data[[#This Row],[date]]))</f>
        <v>2023-7</v>
      </c>
      <c r="C206">
        <v>48.4</v>
      </c>
      <c r="D206">
        <v>161.78</v>
      </c>
    </row>
    <row r="207" spans="1:4" x14ac:dyDescent="0.2">
      <c r="A207" s="1">
        <v>45132</v>
      </c>
      <c r="B207" s="1" t="str">
        <f>_xlfn.CONCAT(YEAR(int_data[[#This Row],[date]]),"-",MONTH(int_data[[#This Row],[date]]))</f>
        <v>2023-7</v>
      </c>
      <c r="C207">
        <v>48.755000000000003</v>
      </c>
      <c r="D207">
        <v>161.61000000000001</v>
      </c>
    </row>
    <row r="208" spans="1:4" x14ac:dyDescent="0.2">
      <c r="A208" s="1">
        <v>45133</v>
      </c>
      <c r="B208" s="1" t="str">
        <f>_xlfn.CONCAT(YEAR(int_data[[#This Row],[date]]),"-",MONTH(int_data[[#This Row],[date]]))</f>
        <v>2023-7</v>
      </c>
      <c r="C208">
        <v>49.11</v>
      </c>
      <c r="D208">
        <v>161.44</v>
      </c>
    </row>
    <row r="209" spans="1:4" x14ac:dyDescent="0.2">
      <c r="A209" s="1">
        <v>45134</v>
      </c>
      <c r="B209" s="1" t="str">
        <f>_xlfn.CONCAT(YEAR(int_data[[#This Row],[date]]),"-",MONTH(int_data[[#This Row],[date]]))</f>
        <v>2023-7</v>
      </c>
      <c r="C209">
        <v>48.84</v>
      </c>
      <c r="D209">
        <v>163.62</v>
      </c>
    </row>
    <row r="210" spans="1:4" x14ac:dyDescent="0.2">
      <c r="A210" s="1">
        <v>45135</v>
      </c>
      <c r="B210" s="1" t="str">
        <f>_xlfn.CONCAT(YEAR(int_data[[#This Row],[date]]),"-",MONTH(int_data[[#This Row],[date]]))</f>
        <v>2023-7</v>
      </c>
      <c r="C210">
        <v>48.56</v>
      </c>
      <c r="D210">
        <v>162.36500000000001</v>
      </c>
    </row>
    <row r="211" spans="1:4" x14ac:dyDescent="0.2">
      <c r="A211" s="1">
        <v>45136</v>
      </c>
      <c r="B211" s="1" t="str">
        <f>_xlfn.CONCAT(YEAR(int_data[[#This Row],[date]]),"-",MONTH(int_data[[#This Row],[date]]))</f>
        <v>2023-7</v>
      </c>
      <c r="C211">
        <v>48.28</v>
      </c>
      <c r="D211">
        <v>161.11000000000001</v>
      </c>
    </row>
    <row r="212" spans="1:4" x14ac:dyDescent="0.2">
      <c r="A212" s="1">
        <v>45137</v>
      </c>
      <c r="B212" s="1" t="str">
        <f>_xlfn.CONCAT(YEAR(int_data[[#This Row],[date]]),"-",MONTH(int_data[[#This Row],[date]]))</f>
        <v>2023-7</v>
      </c>
      <c r="C212">
        <v>46.94</v>
      </c>
      <c r="D212">
        <v>158.93</v>
      </c>
    </row>
    <row r="213" spans="1:4" x14ac:dyDescent="0.2">
      <c r="A213" s="1">
        <v>45138</v>
      </c>
      <c r="B213" s="1" t="str">
        <f>_xlfn.CONCAT(YEAR(int_data[[#This Row],[date]]),"-",MONTH(int_data[[#This Row],[date]]))</f>
        <v>2023-7</v>
      </c>
      <c r="C213">
        <v>46.94</v>
      </c>
      <c r="D213">
        <v>157.26</v>
      </c>
    </row>
    <row r="214" spans="1:4" x14ac:dyDescent="0.2">
      <c r="A214" s="1">
        <v>45139</v>
      </c>
      <c r="B214" s="1" t="str">
        <f>_xlfn.CONCAT(YEAR(int_data[[#This Row],[date]]),"-",MONTH(int_data[[#This Row],[date]]))</f>
        <v>2023-8</v>
      </c>
      <c r="C214">
        <v>44.68</v>
      </c>
      <c r="D214">
        <v>155.59</v>
      </c>
    </row>
    <row r="215" spans="1:4" x14ac:dyDescent="0.2">
      <c r="A215" s="1">
        <v>45140</v>
      </c>
      <c r="B215" s="1" t="str">
        <f>_xlfn.CONCAT(YEAR(int_data[[#This Row],[date]]),"-",MONTH(int_data[[#This Row],[date]]))</f>
        <v>2023-8</v>
      </c>
      <c r="C215">
        <v>42.63</v>
      </c>
      <c r="D215">
        <v>158.93</v>
      </c>
    </row>
    <row r="216" spans="1:4" x14ac:dyDescent="0.2">
      <c r="A216" s="1">
        <v>45141</v>
      </c>
      <c r="B216" s="1" t="str">
        <f>_xlfn.CONCAT(YEAR(int_data[[#This Row],[date]]),"-",MONTH(int_data[[#This Row],[date]]))</f>
        <v>2023-8</v>
      </c>
      <c r="C216">
        <v>43.21</v>
      </c>
      <c r="D216">
        <v>163.95</v>
      </c>
    </row>
    <row r="217" spans="1:4" x14ac:dyDescent="0.2">
      <c r="A217" s="1">
        <v>45142</v>
      </c>
      <c r="B217" s="1" t="str">
        <f>_xlfn.CONCAT(YEAR(int_data[[#This Row],[date]]),"-",MONTH(int_data[[#This Row],[date]]))</f>
        <v>2023-8</v>
      </c>
      <c r="C217">
        <v>43.27</v>
      </c>
      <c r="D217">
        <v>162.61000000000001</v>
      </c>
    </row>
    <row r="218" spans="1:4" x14ac:dyDescent="0.2">
      <c r="A218" s="1">
        <v>45143</v>
      </c>
      <c r="B218" s="1" t="str">
        <f>_xlfn.CONCAT(YEAR(int_data[[#This Row],[date]]),"-",MONTH(int_data[[#This Row],[date]]))</f>
        <v>2023-8</v>
      </c>
      <c r="C218">
        <v>43.465000000000003</v>
      </c>
      <c r="D218">
        <v>159.935</v>
      </c>
    </row>
    <row r="219" spans="1:4" x14ac:dyDescent="0.2">
      <c r="A219" s="1">
        <v>45144</v>
      </c>
      <c r="B219" s="1" t="str">
        <f>_xlfn.CONCAT(YEAR(int_data[[#This Row],[date]]),"-",MONTH(int_data[[#This Row],[date]]))</f>
        <v>2023-8</v>
      </c>
      <c r="C219">
        <v>43.66</v>
      </c>
      <c r="D219">
        <v>157.26</v>
      </c>
    </row>
    <row r="220" spans="1:4" x14ac:dyDescent="0.2">
      <c r="A220" s="1">
        <v>45145</v>
      </c>
      <c r="B220" s="1" t="str">
        <f>_xlfn.CONCAT(YEAR(int_data[[#This Row],[date]]),"-",MONTH(int_data[[#This Row],[date]]))</f>
        <v>2023-8</v>
      </c>
      <c r="C220">
        <v>44.33</v>
      </c>
      <c r="D220">
        <v>162.28</v>
      </c>
    </row>
    <row r="221" spans="1:4" x14ac:dyDescent="0.2">
      <c r="A221" s="1">
        <v>45146</v>
      </c>
      <c r="B221" s="1" t="str">
        <f>_xlfn.CONCAT(YEAR(int_data[[#This Row],[date]]),"-",MONTH(int_data[[#This Row],[date]]))</f>
        <v>2023-8</v>
      </c>
      <c r="C221">
        <v>44.68</v>
      </c>
      <c r="D221">
        <v>162.28</v>
      </c>
    </row>
    <row r="222" spans="1:4" x14ac:dyDescent="0.2">
      <c r="A222" s="1">
        <v>45147</v>
      </c>
      <c r="B222" s="1" t="str">
        <f>_xlfn.CONCAT(YEAR(int_data[[#This Row],[date]]),"-",MONTH(int_data[[#This Row],[date]]))</f>
        <v>2023-8</v>
      </c>
      <c r="C222">
        <v>45.03</v>
      </c>
      <c r="D222">
        <v>162.28</v>
      </c>
    </row>
    <row r="223" spans="1:4" x14ac:dyDescent="0.2">
      <c r="A223" s="1">
        <v>45148</v>
      </c>
      <c r="B223" s="1" t="str">
        <f>_xlfn.CONCAT(YEAR(int_data[[#This Row],[date]]),"-",MONTH(int_data[[#This Row],[date]]))</f>
        <v>2023-8</v>
      </c>
      <c r="C223">
        <v>44.91</v>
      </c>
      <c r="D223">
        <v>161.11000000000001</v>
      </c>
    </row>
    <row r="224" spans="1:4" x14ac:dyDescent="0.2">
      <c r="A224" s="1">
        <v>45149</v>
      </c>
      <c r="B224" s="1" t="str">
        <f>_xlfn.CONCAT(YEAR(int_data[[#This Row],[date]]),"-",MONTH(int_data[[#This Row],[date]]))</f>
        <v>2023-8</v>
      </c>
      <c r="C224">
        <v>43.35</v>
      </c>
      <c r="D224">
        <v>159.77000000000001</v>
      </c>
    </row>
    <row r="225" spans="1:4" x14ac:dyDescent="0.2">
      <c r="A225" s="1">
        <v>45150</v>
      </c>
      <c r="B225" s="1" t="str">
        <f>_xlfn.CONCAT(YEAR(int_data[[#This Row],[date]]),"-",MONTH(int_data[[#This Row],[date]]))</f>
        <v>2023-8</v>
      </c>
      <c r="C225">
        <v>43.43</v>
      </c>
      <c r="D225">
        <v>161.28</v>
      </c>
    </row>
    <row r="226" spans="1:4" x14ac:dyDescent="0.2">
      <c r="A226" s="1">
        <v>45151</v>
      </c>
      <c r="B226" s="1" t="str">
        <f>_xlfn.CONCAT(YEAR(int_data[[#This Row],[date]]),"-",MONTH(int_data[[#This Row],[date]]))</f>
        <v>2023-8</v>
      </c>
      <c r="C226">
        <v>45.03</v>
      </c>
      <c r="D226">
        <v>159.77000000000001</v>
      </c>
    </row>
    <row r="227" spans="1:4" x14ac:dyDescent="0.2">
      <c r="A227" s="1">
        <v>45152</v>
      </c>
      <c r="B227" s="1" t="str">
        <f>_xlfn.CONCAT(YEAR(int_data[[#This Row],[date]]),"-",MONTH(int_data[[#This Row],[date]]))</f>
        <v>2023-8</v>
      </c>
      <c r="C227">
        <v>43.92</v>
      </c>
      <c r="D227">
        <v>155.09</v>
      </c>
    </row>
    <row r="228" spans="1:4" x14ac:dyDescent="0.2">
      <c r="A228" s="1">
        <v>45153</v>
      </c>
      <c r="B228" s="1" t="str">
        <f>_xlfn.CONCAT(YEAR(int_data[[#This Row],[date]]),"-",MONTH(int_data[[#This Row],[date]]))</f>
        <v>2023-8</v>
      </c>
      <c r="C228">
        <v>43.31</v>
      </c>
      <c r="D228">
        <v>153.58000000000001</v>
      </c>
    </row>
    <row r="229" spans="1:4" x14ac:dyDescent="0.2">
      <c r="A229" s="1">
        <v>45154</v>
      </c>
      <c r="B229" s="1" t="str">
        <f>_xlfn.CONCAT(YEAR(int_data[[#This Row],[date]]),"-",MONTH(int_data[[#This Row],[date]]))</f>
        <v>2023-8</v>
      </c>
      <c r="C229">
        <v>43.04</v>
      </c>
      <c r="D229">
        <v>153.33000000000001</v>
      </c>
    </row>
    <row r="230" spans="1:4" x14ac:dyDescent="0.2">
      <c r="A230" s="1">
        <v>45155</v>
      </c>
      <c r="B230" s="1" t="str">
        <f>_xlfn.CONCAT(YEAR(int_data[[#This Row],[date]]),"-",MONTH(int_data[[#This Row],[date]]))</f>
        <v>2023-8</v>
      </c>
      <c r="C230">
        <v>42.77</v>
      </c>
      <c r="D230">
        <v>153.08000000000001</v>
      </c>
    </row>
    <row r="231" spans="1:4" x14ac:dyDescent="0.2">
      <c r="A231" s="1">
        <v>45156</v>
      </c>
      <c r="B231" s="1" t="str">
        <f>_xlfn.CONCAT(YEAR(int_data[[#This Row],[date]]),"-",MONTH(int_data[[#This Row],[date]]))</f>
        <v>2023-8</v>
      </c>
      <c r="C231">
        <v>43.38</v>
      </c>
      <c r="D231">
        <v>155.25</v>
      </c>
    </row>
    <row r="232" spans="1:4" x14ac:dyDescent="0.2">
      <c r="A232" s="1">
        <v>45157</v>
      </c>
      <c r="B232" s="1" t="str">
        <f>_xlfn.CONCAT(YEAR(int_data[[#This Row],[date]]),"-",MONTH(int_data[[#This Row],[date]]))</f>
        <v>2023-8</v>
      </c>
      <c r="C232">
        <v>42.79</v>
      </c>
      <c r="D232">
        <v>152.07499999999999</v>
      </c>
    </row>
    <row r="233" spans="1:4" x14ac:dyDescent="0.2">
      <c r="A233" s="1">
        <v>45158</v>
      </c>
      <c r="B233" s="1" t="str">
        <f>_xlfn.CONCAT(YEAR(int_data[[#This Row],[date]]),"-",MONTH(int_data[[#This Row],[date]]))</f>
        <v>2023-8</v>
      </c>
      <c r="C233">
        <v>42.2</v>
      </c>
      <c r="D233">
        <v>148.9</v>
      </c>
    </row>
    <row r="234" spans="1:4" x14ac:dyDescent="0.2">
      <c r="A234" s="1">
        <v>45159</v>
      </c>
      <c r="B234" s="1" t="str">
        <f>_xlfn.CONCAT(YEAR(int_data[[#This Row],[date]]),"-",MONTH(int_data[[#This Row],[date]]))</f>
        <v>2023-8</v>
      </c>
      <c r="C234">
        <v>43.12</v>
      </c>
      <c r="D234">
        <v>148.72999999999999</v>
      </c>
    </row>
    <row r="235" spans="1:4" x14ac:dyDescent="0.2">
      <c r="A235" s="1">
        <v>45160</v>
      </c>
      <c r="B235" s="1" t="str">
        <f>_xlfn.CONCAT(YEAR(int_data[[#This Row],[date]]),"-",MONTH(int_data[[#This Row],[date]]))</f>
        <v>2023-8</v>
      </c>
      <c r="C235">
        <v>45.03</v>
      </c>
      <c r="D235">
        <v>150.57</v>
      </c>
    </row>
    <row r="236" spans="1:4" x14ac:dyDescent="0.2">
      <c r="A236" s="1">
        <v>45161</v>
      </c>
      <c r="B236" s="1" t="str">
        <f>_xlfn.CONCAT(YEAR(int_data[[#This Row],[date]]),"-",MONTH(int_data[[#This Row],[date]]))</f>
        <v>2023-8</v>
      </c>
      <c r="C236">
        <v>43.76</v>
      </c>
      <c r="D236">
        <v>144.71</v>
      </c>
    </row>
    <row r="237" spans="1:4" x14ac:dyDescent="0.2">
      <c r="A237" s="1">
        <v>45162</v>
      </c>
      <c r="B237" s="1" t="str">
        <f>_xlfn.CONCAT(YEAR(int_data[[#This Row],[date]]),"-",MONTH(int_data[[#This Row],[date]]))</f>
        <v>2023-8</v>
      </c>
      <c r="C237">
        <v>43.03</v>
      </c>
      <c r="D237">
        <v>147.22</v>
      </c>
    </row>
    <row r="238" spans="1:4" x14ac:dyDescent="0.2">
      <c r="A238" s="1">
        <v>45163</v>
      </c>
      <c r="B238" s="1" t="str">
        <f>_xlfn.CONCAT(YEAR(int_data[[#This Row],[date]]),"-",MONTH(int_data[[#This Row],[date]]))</f>
        <v>2023-8</v>
      </c>
      <c r="C238">
        <v>45.64</v>
      </c>
      <c r="D238">
        <v>150.07</v>
      </c>
    </row>
    <row r="239" spans="1:4" x14ac:dyDescent="0.2">
      <c r="A239" s="1">
        <v>45164</v>
      </c>
      <c r="B239" s="1" t="str">
        <f>_xlfn.CONCAT(YEAR(int_data[[#This Row],[date]]),"-",MONTH(int_data[[#This Row],[date]]))</f>
        <v>2023-8</v>
      </c>
      <c r="C239">
        <v>45.93</v>
      </c>
      <c r="D239">
        <v>148.9</v>
      </c>
    </row>
    <row r="240" spans="1:4" x14ac:dyDescent="0.2">
      <c r="A240" s="1">
        <v>45165</v>
      </c>
      <c r="B240" s="1" t="str">
        <f>_xlfn.CONCAT(YEAR(int_data[[#This Row],[date]]),"-",MONTH(int_data[[#This Row],[date]]))</f>
        <v>2023-8</v>
      </c>
      <c r="C240">
        <v>47.19</v>
      </c>
      <c r="D240">
        <v>149.48500000000001</v>
      </c>
    </row>
    <row r="241" spans="1:4" x14ac:dyDescent="0.2">
      <c r="A241" s="1">
        <v>45166</v>
      </c>
      <c r="B241" s="1" t="str">
        <f>_xlfn.CONCAT(YEAR(int_data[[#This Row],[date]]),"-",MONTH(int_data[[#This Row],[date]]))</f>
        <v>2023-8</v>
      </c>
      <c r="C241">
        <v>48.45</v>
      </c>
      <c r="D241">
        <v>150.07</v>
      </c>
    </row>
    <row r="242" spans="1:4" x14ac:dyDescent="0.2">
      <c r="A242" s="1">
        <v>45167</v>
      </c>
      <c r="B242" s="1" t="str">
        <f>_xlfn.CONCAT(YEAR(int_data[[#This Row],[date]]),"-",MONTH(int_data[[#This Row],[date]]))</f>
        <v>2023-8</v>
      </c>
      <c r="C242">
        <v>50.7</v>
      </c>
      <c r="D242">
        <v>156.43</v>
      </c>
    </row>
    <row r="243" spans="1:4" x14ac:dyDescent="0.2">
      <c r="A243" s="1">
        <v>45168</v>
      </c>
      <c r="B243" s="1" t="str">
        <f>_xlfn.CONCAT(YEAR(int_data[[#This Row],[date]]),"-",MONTH(int_data[[#This Row],[date]]))</f>
        <v>2023-8</v>
      </c>
      <c r="C243">
        <v>50.725000000000001</v>
      </c>
      <c r="D243">
        <v>157.26499999999999</v>
      </c>
    </row>
    <row r="244" spans="1:4" x14ac:dyDescent="0.2">
      <c r="A244" s="1">
        <v>45169</v>
      </c>
      <c r="B244" s="1" t="str">
        <f>_xlfn.CONCAT(YEAR(int_data[[#This Row],[date]]),"-",MONTH(int_data[[#This Row],[date]]))</f>
        <v>2023-8</v>
      </c>
      <c r="C244">
        <v>50.75</v>
      </c>
      <c r="D244">
        <v>158.1</v>
      </c>
    </row>
    <row r="245" spans="1:4" x14ac:dyDescent="0.2">
      <c r="A245" s="1">
        <v>45170</v>
      </c>
      <c r="B245" s="1" t="str">
        <f>_xlfn.CONCAT(YEAR(int_data[[#This Row],[date]]),"-",MONTH(int_data[[#This Row],[date]]))</f>
        <v>2023-9</v>
      </c>
      <c r="C245">
        <v>52.73</v>
      </c>
      <c r="D245">
        <v>159.77000000000001</v>
      </c>
    </row>
    <row r="246" spans="1:4" x14ac:dyDescent="0.2">
      <c r="A246" s="1">
        <v>45171</v>
      </c>
      <c r="B246" s="1" t="str">
        <f>_xlfn.CONCAT(YEAR(int_data[[#This Row],[date]]),"-",MONTH(int_data[[#This Row],[date]]))</f>
        <v>2023-9</v>
      </c>
      <c r="C246">
        <v>52.02</v>
      </c>
      <c r="D246">
        <v>160.27000000000001</v>
      </c>
    </row>
    <row r="247" spans="1:4" x14ac:dyDescent="0.2">
      <c r="A247" s="1">
        <v>45172</v>
      </c>
      <c r="B247" s="1" t="str">
        <f>_xlfn.CONCAT(YEAR(int_data[[#This Row],[date]]),"-",MONTH(int_data[[#This Row],[date]]))</f>
        <v>2023-9</v>
      </c>
      <c r="C247">
        <v>52.68</v>
      </c>
      <c r="D247">
        <v>161.78</v>
      </c>
    </row>
    <row r="248" spans="1:4" x14ac:dyDescent="0.2">
      <c r="A248" s="1">
        <v>45173</v>
      </c>
      <c r="B248" s="1" t="str">
        <f>_xlfn.CONCAT(YEAR(int_data[[#This Row],[date]]),"-",MONTH(int_data[[#This Row],[date]]))</f>
        <v>2023-9</v>
      </c>
      <c r="C248">
        <v>54.33</v>
      </c>
      <c r="D248">
        <v>172.74</v>
      </c>
    </row>
    <row r="249" spans="1:4" x14ac:dyDescent="0.2">
      <c r="A249" s="1">
        <v>45174</v>
      </c>
      <c r="B249" s="1" t="str">
        <f>_xlfn.CONCAT(YEAR(int_data[[#This Row],[date]]),"-",MONTH(int_data[[#This Row],[date]]))</f>
        <v>2023-9</v>
      </c>
      <c r="C249">
        <v>54.94</v>
      </c>
      <c r="D249">
        <v>175.66</v>
      </c>
    </row>
    <row r="250" spans="1:4" x14ac:dyDescent="0.2">
      <c r="A250" s="1">
        <v>45175</v>
      </c>
      <c r="B250" s="1" t="str">
        <f>_xlfn.CONCAT(YEAR(int_data[[#This Row],[date]]),"-",MONTH(int_data[[#This Row],[date]]))</f>
        <v>2023-9</v>
      </c>
      <c r="C250">
        <v>54.16</v>
      </c>
      <c r="D250">
        <v>176.92</v>
      </c>
    </row>
    <row r="251" spans="1:4" x14ac:dyDescent="0.2">
      <c r="A251" s="1">
        <v>45176</v>
      </c>
      <c r="B251" s="1" t="str">
        <f>_xlfn.CONCAT(YEAR(int_data[[#This Row],[date]]),"-",MONTH(int_data[[#This Row],[date]]))</f>
        <v>2023-9</v>
      </c>
      <c r="C251">
        <v>54.03</v>
      </c>
      <c r="D251">
        <v>174.62</v>
      </c>
    </row>
    <row r="252" spans="1:4" x14ac:dyDescent="0.2">
      <c r="A252" s="1">
        <v>45177</v>
      </c>
      <c r="B252" s="1" t="str">
        <f>_xlfn.CONCAT(YEAR(int_data[[#This Row],[date]]),"-",MONTH(int_data[[#This Row],[date]]))</f>
        <v>2023-9</v>
      </c>
      <c r="C252">
        <v>53.9</v>
      </c>
      <c r="D252">
        <v>172.32</v>
      </c>
    </row>
    <row r="253" spans="1:4" x14ac:dyDescent="0.2">
      <c r="A253" s="1">
        <v>45178</v>
      </c>
      <c r="B253" s="1" t="str">
        <f>_xlfn.CONCAT(YEAR(int_data[[#This Row],[date]]),"-",MONTH(int_data[[#This Row],[date]]))</f>
        <v>2023-9</v>
      </c>
      <c r="C253">
        <v>53.79</v>
      </c>
      <c r="D253">
        <v>169.39</v>
      </c>
    </row>
    <row r="254" spans="1:4" x14ac:dyDescent="0.2">
      <c r="A254" s="1">
        <v>45179</v>
      </c>
      <c r="B254" s="1" t="str">
        <f>_xlfn.CONCAT(YEAR(int_data[[#This Row],[date]]),"-",MONTH(int_data[[#This Row],[date]]))</f>
        <v>2023-9</v>
      </c>
      <c r="C254">
        <v>53.73</v>
      </c>
      <c r="D254">
        <v>170.435</v>
      </c>
    </row>
    <row r="255" spans="1:4" x14ac:dyDescent="0.2">
      <c r="A255" s="1">
        <v>45180</v>
      </c>
      <c r="B255" s="1" t="str">
        <f>_xlfn.CONCAT(YEAR(int_data[[#This Row],[date]]),"-",MONTH(int_data[[#This Row],[date]]))</f>
        <v>2023-9</v>
      </c>
      <c r="C255">
        <v>53.67</v>
      </c>
      <c r="D255">
        <v>171.48</v>
      </c>
    </row>
    <row r="256" spans="1:4" x14ac:dyDescent="0.2">
      <c r="A256" s="1">
        <v>45181</v>
      </c>
      <c r="B256" s="1" t="str">
        <f>_xlfn.CONCAT(YEAR(int_data[[#This Row],[date]]),"-",MONTH(int_data[[#This Row],[date]]))</f>
        <v>2023-9</v>
      </c>
      <c r="C256">
        <v>55.63</v>
      </c>
      <c r="D256">
        <v>173.99</v>
      </c>
    </row>
    <row r="257" spans="1:4" x14ac:dyDescent="0.2">
      <c r="A257" s="1">
        <v>45182</v>
      </c>
      <c r="B257" s="1" t="str">
        <f>_xlfn.CONCAT(YEAR(int_data[[#This Row],[date]]),"-",MONTH(int_data[[#This Row],[date]]))</f>
        <v>2023-9</v>
      </c>
      <c r="C257">
        <v>56.33</v>
      </c>
      <c r="D257">
        <v>173.99</v>
      </c>
    </row>
    <row r="258" spans="1:4" x14ac:dyDescent="0.2">
      <c r="A258" s="1">
        <v>45183</v>
      </c>
      <c r="B258" s="1" t="str">
        <f>_xlfn.CONCAT(YEAR(int_data[[#This Row],[date]]),"-",MONTH(int_data[[#This Row],[date]]))</f>
        <v>2023-9</v>
      </c>
      <c r="C258">
        <v>57.37</v>
      </c>
      <c r="D258">
        <v>175.25</v>
      </c>
    </row>
    <row r="259" spans="1:4" x14ac:dyDescent="0.2">
      <c r="A259" s="1">
        <v>45184</v>
      </c>
      <c r="B259" s="1" t="str">
        <f>_xlfn.CONCAT(YEAR(int_data[[#This Row],[date]]),"-",MONTH(int_data[[#This Row],[date]]))</f>
        <v>2023-9</v>
      </c>
      <c r="C259">
        <v>56.59</v>
      </c>
      <c r="D259">
        <v>171.48</v>
      </c>
    </row>
    <row r="260" spans="1:4" x14ac:dyDescent="0.2">
      <c r="A260" s="1">
        <v>45185</v>
      </c>
      <c r="B260" s="1" t="str">
        <f>_xlfn.CONCAT(YEAR(int_data[[#This Row],[date]]),"-",MONTH(int_data[[#This Row],[date]]))</f>
        <v>2023-9</v>
      </c>
      <c r="C260">
        <v>56.93</v>
      </c>
      <c r="D260">
        <v>175.035</v>
      </c>
    </row>
    <row r="261" spans="1:4" x14ac:dyDescent="0.2">
      <c r="A261" s="1">
        <v>45186</v>
      </c>
      <c r="B261" s="1" t="str">
        <f>_xlfn.CONCAT(YEAR(int_data[[#This Row],[date]]),"-",MONTH(int_data[[#This Row],[date]]))</f>
        <v>2023-9</v>
      </c>
      <c r="C261">
        <v>57.27</v>
      </c>
      <c r="D261">
        <v>178.59</v>
      </c>
    </row>
    <row r="262" spans="1:4" x14ac:dyDescent="0.2">
      <c r="A262" s="1">
        <v>45187</v>
      </c>
      <c r="B262" s="1" t="str">
        <f>_xlfn.CONCAT(YEAR(int_data[[#This Row],[date]]),"-",MONTH(int_data[[#This Row],[date]]))</f>
        <v>2023-9</v>
      </c>
      <c r="C262">
        <v>57.53</v>
      </c>
      <c r="D262">
        <v>182.77</v>
      </c>
    </row>
    <row r="263" spans="1:4" x14ac:dyDescent="0.2">
      <c r="A263" s="1">
        <v>45188</v>
      </c>
      <c r="B263" s="1" t="str">
        <f>_xlfn.CONCAT(YEAR(int_data[[#This Row],[date]]),"-",MONTH(int_data[[#This Row],[date]]))</f>
        <v>2023-9</v>
      </c>
      <c r="C263">
        <v>57.51</v>
      </c>
      <c r="D263">
        <v>184.03</v>
      </c>
    </row>
    <row r="264" spans="1:4" x14ac:dyDescent="0.2">
      <c r="A264" s="1">
        <v>45189</v>
      </c>
      <c r="B264" s="1" t="str">
        <f>_xlfn.CONCAT(YEAR(int_data[[#This Row],[date]]),"-",MONTH(int_data[[#This Row],[date]]))</f>
        <v>2023-9</v>
      </c>
      <c r="C264">
        <v>57.795000000000002</v>
      </c>
      <c r="D264">
        <v>188.63</v>
      </c>
    </row>
    <row r="265" spans="1:4" x14ac:dyDescent="0.2">
      <c r="A265" s="1">
        <v>45190</v>
      </c>
      <c r="B265" s="1" t="str">
        <f>_xlfn.CONCAT(YEAR(int_data[[#This Row],[date]]),"-",MONTH(int_data[[#This Row],[date]]))</f>
        <v>2023-9</v>
      </c>
      <c r="C265">
        <v>58.08</v>
      </c>
      <c r="D265">
        <v>193.23</v>
      </c>
    </row>
    <row r="266" spans="1:4" x14ac:dyDescent="0.2">
      <c r="A266" s="1">
        <v>45191</v>
      </c>
      <c r="B266" s="1" t="str">
        <f>_xlfn.CONCAT(YEAR(int_data[[#This Row],[date]]),"-",MONTH(int_data[[#This Row],[date]]))</f>
        <v>2023-9</v>
      </c>
      <c r="C266">
        <v>59.2</v>
      </c>
      <c r="D266">
        <v>198.67</v>
      </c>
    </row>
    <row r="267" spans="1:4" x14ac:dyDescent="0.2">
      <c r="A267" s="1">
        <v>45192</v>
      </c>
      <c r="B267" s="1" t="str">
        <f>_xlfn.CONCAT(YEAR(int_data[[#This Row],[date]]),"-",MONTH(int_data[[#This Row],[date]]))</f>
        <v>2023-9</v>
      </c>
      <c r="C267">
        <v>59.375</v>
      </c>
      <c r="D267">
        <v>195.32499999999999</v>
      </c>
    </row>
    <row r="268" spans="1:4" x14ac:dyDescent="0.2">
      <c r="A268" s="1">
        <v>45193</v>
      </c>
      <c r="B268" s="1" t="str">
        <f>_xlfn.CONCAT(YEAR(int_data[[#This Row],[date]]),"-",MONTH(int_data[[#This Row],[date]]))</f>
        <v>2023-9</v>
      </c>
      <c r="C268">
        <v>59.55</v>
      </c>
      <c r="D268">
        <v>191.98</v>
      </c>
    </row>
    <row r="269" spans="1:4" x14ac:dyDescent="0.2">
      <c r="A269" s="1">
        <v>45194</v>
      </c>
      <c r="B269" s="1" t="str">
        <f>_xlfn.CONCAT(YEAR(int_data[[#This Row],[date]]),"-",MONTH(int_data[[#This Row],[date]]))</f>
        <v>2023-9</v>
      </c>
      <c r="C269">
        <v>59.82</v>
      </c>
      <c r="D269">
        <v>195.74</v>
      </c>
    </row>
    <row r="270" spans="1:4" x14ac:dyDescent="0.2">
      <c r="A270" s="1">
        <v>45195</v>
      </c>
      <c r="B270" s="1" t="str">
        <f>_xlfn.CONCAT(YEAR(int_data[[#This Row],[date]]),"-",MONTH(int_data[[#This Row],[date]]))</f>
        <v>2023-9</v>
      </c>
      <c r="C270">
        <v>60.52</v>
      </c>
      <c r="D270">
        <v>200.76</v>
      </c>
    </row>
    <row r="271" spans="1:4" x14ac:dyDescent="0.2">
      <c r="A271" s="1">
        <v>45196</v>
      </c>
      <c r="B271" s="1" t="str">
        <f>_xlfn.CONCAT(YEAR(int_data[[#This Row],[date]]),"-",MONTH(int_data[[#This Row],[date]]))</f>
        <v>2023-9</v>
      </c>
      <c r="C271">
        <v>59.41</v>
      </c>
      <c r="D271">
        <v>199.09</v>
      </c>
    </row>
    <row r="272" spans="1:4" x14ac:dyDescent="0.2">
      <c r="A272" s="1">
        <v>45197</v>
      </c>
      <c r="B272" s="1" t="str">
        <f>_xlfn.CONCAT(YEAR(int_data[[#This Row],[date]]),"-",MONTH(int_data[[#This Row],[date]]))</f>
        <v>2023-9</v>
      </c>
      <c r="C272">
        <v>60.19</v>
      </c>
      <c r="D272">
        <v>191.14</v>
      </c>
    </row>
    <row r="273" spans="1:4" x14ac:dyDescent="0.2">
      <c r="A273" s="1">
        <v>45198</v>
      </c>
      <c r="B273" s="1" t="str">
        <f>_xlfn.CONCAT(YEAR(int_data[[#This Row],[date]]),"-",MONTH(int_data[[#This Row],[date]]))</f>
        <v>2023-9</v>
      </c>
      <c r="C273">
        <v>62.54</v>
      </c>
      <c r="D273">
        <v>199.09</v>
      </c>
    </row>
    <row r="274" spans="1:4" x14ac:dyDescent="0.2">
      <c r="A274" s="1">
        <v>45199</v>
      </c>
      <c r="B274" s="1" t="str">
        <f>_xlfn.CONCAT(YEAR(int_data[[#This Row],[date]]),"-",MONTH(int_data[[#This Row],[date]]))</f>
        <v>2023-9</v>
      </c>
      <c r="C274">
        <v>62.1</v>
      </c>
      <c r="D274">
        <v>192.81</v>
      </c>
    </row>
    <row r="275" spans="1:4" x14ac:dyDescent="0.2">
      <c r="A275" s="1">
        <v>45200</v>
      </c>
      <c r="B275" s="1" t="str">
        <f>_xlfn.CONCAT(YEAR(int_data[[#This Row],[date]]),"-",MONTH(int_data[[#This Row],[date]]))</f>
        <v>2023-10</v>
      </c>
      <c r="C275">
        <v>62.265000000000001</v>
      </c>
      <c r="D275">
        <v>195.95</v>
      </c>
    </row>
    <row r="276" spans="1:4" x14ac:dyDescent="0.2">
      <c r="A276" s="1">
        <v>45201</v>
      </c>
      <c r="B276" s="1" t="str">
        <f>_xlfn.CONCAT(YEAR(int_data[[#This Row],[date]]),"-",MONTH(int_data[[#This Row],[date]]))</f>
        <v>2023-10</v>
      </c>
      <c r="C276">
        <v>62.43</v>
      </c>
      <c r="D276">
        <v>199.09</v>
      </c>
    </row>
    <row r="277" spans="1:4" x14ac:dyDescent="0.2">
      <c r="A277" s="1">
        <v>45202</v>
      </c>
      <c r="B277" s="1" t="str">
        <f>_xlfn.CONCAT(YEAR(int_data[[#This Row],[date]]),"-",MONTH(int_data[[#This Row],[date]]))</f>
        <v>2023-10</v>
      </c>
      <c r="C277">
        <v>63.18</v>
      </c>
      <c r="D277">
        <v>199.92</v>
      </c>
    </row>
    <row r="278" spans="1:4" x14ac:dyDescent="0.2">
      <c r="A278" s="1">
        <v>45203</v>
      </c>
      <c r="B278" s="1" t="str">
        <f>_xlfn.CONCAT(YEAR(int_data[[#This Row],[date]]),"-",MONTH(int_data[[#This Row],[date]]))</f>
        <v>2023-10</v>
      </c>
      <c r="C278">
        <v>64.239999999999995</v>
      </c>
      <c r="D278">
        <v>201.595</v>
      </c>
    </row>
    <row r="279" spans="1:4" x14ac:dyDescent="0.2">
      <c r="A279" s="1">
        <v>45204</v>
      </c>
      <c r="B279" s="1" t="str">
        <f>_xlfn.CONCAT(YEAR(int_data[[#This Row],[date]]),"-",MONTH(int_data[[#This Row],[date]]))</f>
        <v>2023-10</v>
      </c>
      <c r="C279">
        <v>65.3</v>
      </c>
      <c r="D279">
        <v>203.27</v>
      </c>
    </row>
    <row r="280" spans="1:4" x14ac:dyDescent="0.2">
      <c r="A280" s="1">
        <v>45205</v>
      </c>
      <c r="B280" s="1" t="str">
        <f>_xlfn.CONCAT(YEAR(int_data[[#This Row],[date]]),"-",MONTH(int_data[[#This Row],[date]]))</f>
        <v>2023-10</v>
      </c>
      <c r="C280">
        <v>63.89</v>
      </c>
      <c r="D280">
        <v>202.01</v>
      </c>
    </row>
    <row r="281" spans="1:4" x14ac:dyDescent="0.2">
      <c r="A281" s="1">
        <v>45206</v>
      </c>
      <c r="B281" s="1" t="str">
        <f>_xlfn.CONCAT(YEAR(int_data[[#This Row],[date]]),"-",MONTH(int_data[[#This Row],[date]]))</f>
        <v>2023-10</v>
      </c>
      <c r="C281">
        <v>64.48</v>
      </c>
      <c r="D281">
        <v>204.94</v>
      </c>
    </row>
    <row r="282" spans="1:4" x14ac:dyDescent="0.2">
      <c r="A282" s="1">
        <v>45207</v>
      </c>
      <c r="B282" s="1" t="str">
        <f>_xlfn.CONCAT(YEAR(int_data[[#This Row],[date]]),"-",MONTH(int_data[[#This Row],[date]]))</f>
        <v>2023-10</v>
      </c>
      <c r="C282">
        <v>64.66</v>
      </c>
      <c r="D282">
        <v>204.94</v>
      </c>
    </row>
    <row r="283" spans="1:4" x14ac:dyDescent="0.2">
      <c r="A283" s="1">
        <v>45208</v>
      </c>
      <c r="B283" s="1" t="str">
        <f>_xlfn.CONCAT(YEAR(int_data[[#This Row],[date]]),"-",MONTH(int_data[[#This Row],[date]]))</f>
        <v>2023-10</v>
      </c>
      <c r="C283">
        <v>64.64</v>
      </c>
      <c r="D283">
        <v>204.94</v>
      </c>
    </row>
    <row r="284" spans="1:4" x14ac:dyDescent="0.2">
      <c r="A284" s="1">
        <v>45209</v>
      </c>
      <c r="B284" s="1" t="str">
        <f>_xlfn.CONCAT(YEAR(int_data[[#This Row],[date]]),"-",MONTH(int_data[[#This Row],[date]]))</f>
        <v>2023-10</v>
      </c>
      <c r="C284">
        <v>63.68</v>
      </c>
      <c r="D284">
        <v>204.1</v>
      </c>
    </row>
    <row r="285" spans="1:4" x14ac:dyDescent="0.2">
      <c r="A285" s="1">
        <v>45210</v>
      </c>
      <c r="B285" s="1" t="str">
        <f>_xlfn.CONCAT(YEAR(int_data[[#This Row],[date]]),"-",MONTH(int_data[[#This Row],[date]]))</f>
        <v>2023-10</v>
      </c>
      <c r="C285">
        <v>66.290000000000006</v>
      </c>
      <c r="D285">
        <v>209.12</v>
      </c>
    </row>
    <row r="286" spans="1:4" x14ac:dyDescent="0.2">
      <c r="A286" s="1">
        <v>45211</v>
      </c>
      <c r="B286" s="1" t="str">
        <f>_xlfn.CONCAT(YEAR(int_data[[#This Row],[date]]),"-",MONTH(int_data[[#This Row],[date]]))</f>
        <v>2023-10</v>
      </c>
      <c r="C286">
        <v>66.784999999999997</v>
      </c>
      <c r="D286">
        <v>206.19499999999999</v>
      </c>
    </row>
    <row r="287" spans="1:4" x14ac:dyDescent="0.2">
      <c r="A287" s="1">
        <v>45212</v>
      </c>
      <c r="B287" s="1" t="str">
        <f>_xlfn.CONCAT(YEAR(int_data[[#This Row],[date]]),"-",MONTH(int_data[[#This Row],[date]]))</f>
        <v>2023-10</v>
      </c>
      <c r="C287">
        <v>67.28</v>
      </c>
      <c r="D287">
        <v>203.27</v>
      </c>
    </row>
    <row r="288" spans="1:4" x14ac:dyDescent="0.2">
      <c r="A288" s="1">
        <v>45213</v>
      </c>
      <c r="B288" s="1" t="str">
        <f>_xlfn.CONCAT(YEAR(int_data[[#This Row],[date]]),"-",MONTH(int_data[[#This Row],[date]]))</f>
        <v>2023-10</v>
      </c>
      <c r="C288">
        <v>67.09</v>
      </c>
      <c r="D288">
        <v>202.43</v>
      </c>
    </row>
    <row r="289" spans="1:4" x14ac:dyDescent="0.2">
      <c r="A289" s="1">
        <v>45214</v>
      </c>
      <c r="B289" s="1" t="str">
        <f>_xlfn.CONCAT(YEAR(int_data[[#This Row],[date]]),"-",MONTH(int_data[[#This Row],[date]]))</f>
        <v>2023-10</v>
      </c>
      <c r="C289">
        <v>67.88</v>
      </c>
      <c r="D289">
        <v>205.36</v>
      </c>
    </row>
    <row r="290" spans="1:4" x14ac:dyDescent="0.2">
      <c r="A290" s="1">
        <v>45215</v>
      </c>
      <c r="B290" s="1" t="str">
        <f>_xlfn.CONCAT(YEAR(int_data[[#This Row],[date]]),"-",MONTH(int_data[[#This Row],[date]]))</f>
        <v>2023-10</v>
      </c>
      <c r="C290">
        <v>68.67</v>
      </c>
      <c r="D290">
        <v>208.29</v>
      </c>
    </row>
    <row r="291" spans="1:4" x14ac:dyDescent="0.2">
      <c r="A291" s="1">
        <v>45216</v>
      </c>
      <c r="B291" s="1" t="str">
        <f>_xlfn.CONCAT(YEAR(int_data[[#This Row],[date]]),"-",MONTH(int_data[[#This Row],[date]]))</f>
        <v>2023-10</v>
      </c>
      <c r="C291">
        <v>67.37</v>
      </c>
      <c r="D291">
        <v>208.29</v>
      </c>
    </row>
    <row r="292" spans="1:4" x14ac:dyDescent="0.2">
      <c r="A292" s="1">
        <v>45217</v>
      </c>
      <c r="B292" s="1" t="str">
        <f>_xlfn.CONCAT(YEAR(int_data[[#This Row],[date]]),"-",MONTH(int_data[[#This Row],[date]]))</f>
        <v>2023-10</v>
      </c>
      <c r="C292">
        <v>66.760000000000005</v>
      </c>
      <c r="D292">
        <v>213.72</v>
      </c>
    </row>
    <row r="293" spans="1:4" x14ac:dyDescent="0.2">
      <c r="A293" s="1">
        <v>45218</v>
      </c>
      <c r="B293" s="1" t="str">
        <f>_xlfn.CONCAT(YEAR(int_data[[#This Row],[date]]),"-",MONTH(int_data[[#This Row],[date]]))</f>
        <v>2023-10</v>
      </c>
      <c r="C293">
        <v>66.849999999999994</v>
      </c>
      <c r="D293">
        <v>220.83</v>
      </c>
    </row>
    <row r="294" spans="1:4" x14ac:dyDescent="0.2">
      <c r="A294" s="1">
        <v>45219</v>
      </c>
      <c r="B294" s="1" t="str">
        <f>_xlfn.CONCAT(YEAR(int_data[[#This Row],[date]]),"-",MONTH(int_data[[#This Row],[date]]))</f>
        <v>2023-10</v>
      </c>
      <c r="C294">
        <v>66.59</v>
      </c>
      <c r="D294">
        <v>220</v>
      </c>
    </row>
    <row r="295" spans="1:4" x14ac:dyDescent="0.2">
      <c r="A295" s="1">
        <v>45220</v>
      </c>
      <c r="B295" s="1" t="str">
        <f>_xlfn.CONCAT(YEAR(int_data[[#This Row],[date]]),"-",MONTH(int_data[[#This Row],[date]]))</f>
        <v>2023-10</v>
      </c>
      <c r="C295">
        <v>67.11</v>
      </c>
      <c r="D295">
        <v>221.67</v>
      </c>
    </row>
    <row r="296" spans="1:4" x14ac:dyDescent="0.2">
      <c r="A296" s="1">
        <v>45221</v>
      </c>
      <c r="B296" s="1" t="str">
        <f>_xlfn.CONCAT(YEAR(int_data[[#This Row],[date]]),"-",MONTH(int_data[[#This Row],[date]]))</f>
        <v>2023-10</v>
      </c>
      <c r="C296">
        <v>66.62</v>
      </c>
      <c r="D296">
        <v>227.94</v>
      </c>
    </row>
    <row r="297" spans="1:4" x14ac:dyDescent="0.2">
      <c r="A297" s="1">
        <v>45222</v>
      </c>
      <c r="B297" s="1" t="str">
        <f>_xlfn.CONCAT(YEAR(int_data[[#This Row],[date]]),"-",MONTH(int_data[[#This Row],[date]]))</f>
        <v>2023-10</v>
      </c>
      <c r="C297">
        <v>66.245000000000005</v>
      </c>
      <c r="D297">
        <v>224.18</v>
      </c>
    </row>
    <row r="298" spans="1:4" x14ac:dyDescent="0.2">
      <c r="A298" s="1">
        <v>45223</v>
      </c>
      <c r="B298" s="1" t="str">
        <f>_xlfn.CONCAT(YEAR(int_data[[#This Row],[date]]),"-",MONTH(int_data[[#This Row],[date]]))</f>
        <v>2023-10</v>
      </c>
      <c r="C298">
        <v>65.87</v>
      </c>
      <c r="D298">
        <v>220.42</v>
      </c>
    </row>
    <row r="299" spans="1:4" x14ac:dyDescent="0.2">
      <c r="A299" s="1">
        <v>45224</v>
      </c>
      <c r="B299" s="1" t="str">
        <f>_xlfn.CONCAT(YEAR(int_data[[#This Row],[date]]),"-",MONTH(int_data[[#This Row],[date]]))</f>
        <v>2023-10</v>
      </c>
      <c r="C299">
        <v>65.98</v>
      </c>
      <c r="D299">
        <v>222.09</v>
      </c>
    </row>
    <row r="300" spans="1:4" x14ac:dyDescent="0.2">
      <c r="A300" s="1">
        <v>45225</v>
      </c>
      <c r="B300" s="1" t="str">
        <f>_xlfn.CONCAT(YEAR(int_data[[#This Row],[date]]),"-",MONTH(int_data[[#This Row],[date]]))</f>
        <v>2023-10</v>
      </c>
      <c r="C300">
        <v>65.724999999999994</v>
      </c>
      <c r="D300">
        <v>221.67</v>
      </c>
    </row>
    <row r="301" spans="1:4" x14ac:dyDescent="0.2">
      <c r="A301" s="1">
        <v>45226</v>
      </c>
      <c r="B301" s="1" t="str">
        <f>_xlfn.CONCAT(YEAR(int_data[[#This Row],[date]]),"-",MONTH(int_data[[#This Row],[date]]))</f>
        <v>2023-10</v>
      </c>
      <c r="C301">
        <v>65.47</v>
      </c>
      <c r="D301">
        <v>221.25</v>
      </c>
    </row>
    <row r="302" spans="1:4" x14ac:dyDescent="0.2">
      <c r="A302" s="1">
        <v>45227</v>
      </c>
      <c r="B302" s="1" t="str">
        <f>_xlfn.CONCAT(YEAR(int_data[[#This Row],[date]]),"-",MONTH(int_data[[#This Row],[date]]))</f>
        <v>2023-10</v>
      </c>
      <c r="C302">
        <v>65.27</v>
      </c>
      <c r="D302">
        <v>216.23</v>
      </c>
    </row>
    <row r="303" spans="1:4" x14ac:dyDescent="0.2">
      <c r="A303" s="1">
        <v>45228</v>
      </c>
      <c r="B303" s="1" t="str">
        <f>_xlfn.CONCAT(YEAR(int_data[[#This Row],[date]]),"-",MONTH(int_data[[#This Row],[date]]))</f>
        <v>2023-10</v>
      </c>
      <c r="C303">
        <v>65.459999999999994</v>
      </c>
      <c r="D303">
        <v>220.83</v>
      </c>
    </row>
    <row r="304" spans="1:4" x14ac:dyDescent="0.2">
      <c r="A304" s="1">
        <v>45229</v>
      </c>
      <c r="B304" s="1" t="str">
        <f>_xlfn.CONCAT(YEAR(int_data[[#This Row],[date]]),"-",MONTH(int_data[[#This Row],[date]]))</f>
        <v>2023-10</v>
      </c>
      <c r="C304">
        <v>67.98</v>
      </c>
      <c r="D304">
        <v>225.02</v>
      </c>
    </row>
    <row r="305" spans="1:4" x14ac:dyDescent="0.2">
      <c r="A305" s="1">
        <v>45230</v>
      </c>
      <c r="B305" s="1" t="str">
        <f>_xlfn.CONCAT(YEAR(int_data[[#This Row],[date]]),"-",MONTH(int_data[[#This Row],[date]]))</f>
        <v>2023-10</v>
      </c>
      <c r="C305">
        <v>66.67</v>
      </c>
      <c r="D305">
        <v>221.67</v>
      </c>
    </row>
    <row r="306" spans="1:4" x14ac:dyDescent="0.2">
      <c r="A306" s="1">
        <v>45231</v>
      </c>
      <c r="B306" s="1" t="str">
        <f>_xlfn.CONCAT(YEAR(int_data[[#This Row],[date]]),"-",MONTH(int_data[[#This Row],[date]]))</f>
        <v>2023-11</v>
      </c>
      <c r="C306">
        <v>66.33</v>
      </c>
      <c r="D306">
        <v>218.74</v>
      </c>
    </row>
    <row r="307" spans="1:4" x14ac:dyDescent="0.2">
      <c r="A307" s="1">
        <v>45232</v>
      </c>
      <c r="B307" s="1" t="str">
        <f>_xlfn.CONCAT(YEAR(int_data[[#This Row],[date]]),"-",MONTH(int_data[[#This Row],[date]]))</f>
        <v>2023-11</v>
      </c>
      <c r="C307">
        <v>66.930000000000007</v>
      </c>
      <c r="D307">
        <v>218.33</v>
      </c>
    </row>
    <row r="308" spans="1:4" x14ac:dyDescent="0.2">
      <c r="A308" s="1">
        <v>45233</v>
      </c>
      <c r="B308" s="1" t="str">
        <f>_xlfn.CONCAT(YEAR(int_data[[#This Row],[date]]),"-",MONTH(int_data[[#This Row],[date]]))</f>
        <v>2023-11</v>
      </c>
      <c r="C308">
        <v>67.174999999999997</v>
      </c>
      <c r="D308">
        <v>219.16499999999999</v>
      </c>
    </row>
    <row r="309" spans="1:4" x14ac:dyDescent="0.2">
      <c r="A309" s="1">
        <v>45234</v>
      </c>
      <c r="B309" s="1" t="str">
        <f>_xlfn.CONCAT(YEAR(int_data[[#This Row],[date]]),"-",MONTH(int_data[[#This Row],[date]]))</f>
        <v>2023-11</v>
      </c>
      <c r="C309">
        <v>67.42</v>
      </c>
      <c r="D309">
        <v>220</v>
      </c>
    </row>
    <row r="310" spans="1:4" x14ac:dyDescent="0.2">
      <c r="A310" s="1">
        <v>45235</v>
      </c>
      <c r="B310" s="1" t="str">
        <f>_xlfn.CONCAT(YEAR(int_data[[#This Row],[date]]),"-",MONTH(int_data[[#This Row],[date]]))</f>
        <v>2023-11</v>
      </c>
      <c r="C310">
        <v>66.760000000000005</v>
      </c>
      <c r="D310">
        <v>215.82</v>
      </c>
    </row>
    <row r="311" spans="1:4" x14ac:dyDescent="0.2">
      <c r="A311" s="1">
        <v>45236</v>
      </c>
      <c r="B311" s="1" t="str">
        <f>_xlfn.CONCAT(YEAR(int_data[[#This Row],[date]]),"-",MONTH(int_data[[#This Row],[date]]))</f>
        <v>2023-11</v>
      </c>
      <c r="C311">
        <v>66.56</v>
      </c>
      <c r="D311">
        <v>214.98</v>
      </c>
    </row>
    <row r="312" spans="1:4" x14ac:dyDescent="0.2">
      <c r="A312" s="1">
        <v>45237</v>
      </c>
      <c r="B312" s="1" t="str">
        <f>_xlfn.CONCAT(YEAR(int_data[[#This Row],[date]]),"-",MONTH(int_data[[#This Row],[date]]))</f>
        <v>2023-11</v>
      </c>
      <c r="C312">
        <v>66.36</v>
      </c>
      <c r="D312">
        <v>214.14</v>
      </c>
    </row>
    <row r="313" spans="1:4" x14ac:dyDescent="0.2">
      <c r="A313" s="1">
        <v>45238</v>
      </c>
      <c r="B313" s="1" t="str">
        <f>_xlfn.CONCAT(YEAR(int_data[[#This Row],[date]]),"-",MONTH(int_data[[#This Row],[date]]))</f>
        <v>2023-11</v>
      </c>
      <c r="C313">
        <v>63.46</v>
      </c>
      <c r="D313">
        <v>211.63</v>
      </c>
    </row>
    <row r="314" spans="1:4" x14ac:dyDescent="0.2">
      <c r="A314" s="1">
        <v>45239</v>
      </c>
      <c r="B314" s="1" t="str">
        <f>_xlfn.CONCAT(YEAR(int_data[[#This Row],[date]]),"-",MONTH(int_data[[#This Row],[date]]))</f>
        <v>2023-11</v>
      </c>
      <c r="C314">
        <v>64.92</v>
      </c>
      <c r="D314">
        <v>215.4</v>
      </c>
    </row>
    <row r="315" spans="1:4" x14ac:dyDescent="0.2">
      <c r="A315" s="1">
        <v>45240</v>
      </c>
      <c r="B315" s="1" t="str">
        <f>_xlfn.CONCAT(YEAR(int_data[[#This Row],[date]]),"-",MONTH(int_data[[#This Row],[date]]))</f>
        <v>2023-11</v>
      </c>
      <c r="C315">
        <v>64.48</v>
      </c>
      <c r="D315">
        <v>215.82</v>
      </c>
    </row>
    <row r="316" spans="1:4" x14ac:dyDescent="0.2">
      <c r="A316" s="1">
        <v>45241</v>
      </c>
      <c r="B316" s="1" t="str">
        <f>_xlfn.CONCAT(YEAR(int_data[[#This Row],[date]]),"-",MONTH(int_data[[#This Row],[date]]))</f>
        <v>2023-11</v>
      </c>
      <c r="C316">
        <v>64.760000000000005</v>
      </c>
      <c r="D316">
        <v>207.45</v>
      </c>
    </row>
    <row r="317" spans="1:4" x14ac:dyDescent="0.2">
      <c r="A317" s="1">
        <v>45242</v>
      </c>
      <c r="B317" s="1" t="str">
        <f>_xlfn.CONCAT(YEAR(int_data[[#This Row],[date]]),"-",MONTH(int_data[[#This Row],[date]]))</f>
        <v>2023-11</v>
      </c>
      <c r="C317">
        <v>65.53</v>
      </c>
      <c r="D317">
        <v>209.96</v>
      </c>
    </row>
    <row r="318" spans="1:4" x14ac:dyDescent="0.2">
      <c r="A318" s="1">
        <v>45243</v>
      </c>
      <c r="B318" s="1" t="str">
        <f>_xlfn.CONCAT(YEAR(int_data[[#This Row],[date]]),"-",MONTH(int_data[[#This Row],[date]]))</f>
        <v>2023-11</v>
      </c>
      <c r="C318">
        <v>65.23</v>
      </c>
      <c r="D318">
        <v>214.98</v>
      </c>
    </row>
    <row r="319" spans="1:4" x14ac:dyDescent="0.2">
      <c r="A319" s="1">
        <v>45244</v>
      </c>
      <c r="B319" s="1" t="str">
        <f>_xlfn.CONCAT(YEAR(int_data[[#This Row],[date]]),"-",MONTH(int_data[[#This Row],[date]]))</f>
        <v>2023-11</v>
      </c>
      <c r="C319">
        <v>64.484999999999999</v>
      </c>
      <c r="D319">
        <v>216.655</v>
      </c>
    </row>
    <row r="320" spans="1:4" x14ac:dyDescent="0.2">
      <c r="A320" s="1">
        <v>45245</v>
      </c>
      <c r="B320" s="1" t="str">
        <f>_xlfn.CONCAT(YEAR(int_data[[#This Row],[date]]),"-",MONTH(int_data[[#This Row],[date]]))</f>
        <v>2023-11</v>
      </c>
      <c r="C320">
        <v>63.74</v>
      </c>
      <c r="D320">
        <v>218.33</v>
      </c>
    </row>
    <row r="321" spans="1:4" x14ac:dyDescent="0.2">
      <c r="A321" s="1">
        <v>45246</v>
      </c>
      <c r="B321" s="1" t="str">
        <f>_xlfn.CONCAT(YEAR(int_data[[#This Row],[date]]),"-",MONTH(int_data[[#This Row],[date]]))</f>
        <v>2023-11</v>
      </c>
      <c r="C321">
        <v>61.21</v>
      </c>
      <c r="D321">
        <v>215.82</v>
      </c>
    </row>
    <row r="322" spans="1:4" x14ac:dyDescent="0.2">
      <c r="A322" s="1">
        <v>45247</v>
      </c>
      <c r="B322" s="1" t="str">
        <f>_xlfn.CONCAT(YEAR(int_data[[#This Row],[date]]),"-",MONTH(int_data[[#This Row],[date]]))</f>
        <v>2023-11</v>
      </c>
      <c r="C322">
        <v>61.68</v>
      </c>
      <c r="D322">
        <v>215.82</v>
      </c>
    </row>
    <row r="323" spans="1:4" x14ac:dyDescent="0.2">
      <c r="A323" s="1">
        <v>45248</v>
      </c>
      <c r="B323" s="1" t="str">
        <f>_xlfn.CONCAT(YEAR(int_data[[#This Row],[date]]),"-",MONTH(int_data[[#This Row],[date]]))</f>
        <v>2023-11</v>
      </c>
      <c r="C323">
        <v>62.15</v>
      </c>
      <c r="D323">
        <v>215.82</v>
      </c>
    </row>
    <row r="324" spans="1:4" x14ac:dyDescent="0.2">
      <c r="A324" s="1">
        <v>45249</v>
      </c>
      <c r="B324" s="1" t="str">
        <f>_xlfn.CONCAT(YEAR(int_data[[#This Row],[date]]),"-",MONTH(int_data[[#This Row],[date]]))</f>
        <v>2023-11</v>
      </c>
      <c r="C324">
        <v>61.3</v>
      </c>
      <c r="D324">
        <v>207.87</v>
      </c>
    </row>
    <row r="325" spans="1:4" x14ac:dyDescent="0.2">
      <c r="A325" s="1">
        <v>45250</v>
      </c>
      <c r="B325" s="1" t="str">
        <f>_xlfn.CONCAT(YEAR(int_data[[#This Row],[date]]),"-",MONTH(int_data[[#This Row],[date]]))</f>
        <v>2023-11</v>
      </c>
      <c r="C325">
        <v>61.28</v>
      </c>
      <c r="D325">
        <v>209.12</v>
      </c>
    </row>
    <row r="326" spans="1:4" x14ac:dyDescent="0.2">
      <c r="A326" s="1">
        <v>45251</v>
      </c>
      <c r="B326" s="1" t="str">
        <f>_xlfn.CONCAT(YEAR(int_data[[#This Row],[date]]),"-",MONTH(int_data[[#This Row],[date]]))</f>
        <v>2023-11</v>
      </c>
      <c r="C326">
        <v>59.88</v>
      </c>
      <c r="D326">
        <v>206.61</v>
      </c>
    </row>
    <row r="327" spans="1:4" x14ac:dyDescent="0.2">
      <c r="A327" s="1">
        <v>45252</v>
      </c>
      <c r="B327" s="1" t="str">
        <f>_xlfn.CONCAT(YEAR(int_data[[#This Row],[date]]),"-",MONTH(int_data[[#This Row],[date]]))</f>
        <v>2023-11</v>
      </c>
      <c r="C327">
        <v>61.74</v>
      </c>
      <c r="D327">
        <v>206.61</v>
      </c>
    </row>
    <row r="328" spans="1:4" x14ac:dyDescent="0.2">
      <c r="A328" s="1">
        <v>45253</v>
      </c>
      <c r="B328" s="1" t="str">
        <f>_xlfn.CONCAT(YEAR(int_data[[#This Row],[date]]),"-",MONTH(int_data[[#This Row],[date]]))</f>
        <v>2023-11</v>
      </c>
      <c r="C328">
        <v>60.69</v>
      </c>
      <c r="D328">
        <v>209.96</v>
      </c>
    </row>
    <row r="329" spans="1:4" x14ac:dyDescent="0.2">
      <c r="A329" s="1">
        <v>45254</v>
      </c>
      <c r="B329" s="1" t="str">
        <f>_xlfn.CONCAT(YEAR(int_data[[#This Row],[date]]),"-",MONTH(int_data[[#This Row],[date]]))</f>
        <v>2023-11</v>
      </c>
      <c r="C329">
        <v>61.63</v>
      </c>
      <c r="D329">
        <v>210.8</v>
      </c>
    </row>
    <row r="330" spans="1:4" x14ac:dyDescent="0.2">
      <c r="A330" s="1">
        <v>45255</v>
      </c>
      <c r="B330" s="1" t="str">
        <f>_xlfn.CONCAT(YEAR(int_data[[#This Row],[date]]),"-",MONTH(int_data[[#This Row],[date]]))</f>
        <v>2023-11</v>
      </c>
      <c r="C330">
        <v>61.45</v>
      </c>
      <c r="D330">
        <v>210.38</v>
      </c>
    </row>
    <row r="331" spans="1:4" x14ac:dyDescent="0.2">
      <c r="A331" s="1">
        <v>45256</v>
      </c>
      <c r="B331" s="1" t="str">
        <f>_xlfn.CONCAT(YEAR(int_data[[#This Row],[date]]),"-",MONTH(int_data[[#This Row],[date]]))</f>
        <v>2023-11</v>
      </c>
      <c r="C331">
        <v>61.27</v>
      </c>
      <c r="D331">
        <v>209.96</v>
      </c>
    </row>
    <row r="332" spans="1:4" x14ac:dyDescent="0.2">
      <c r="A332" s="1">
        <v>45257</v>
      </c>
      <c r="B332" s="1" t="str">
        <f>_xlfn.CONCAT(YEAR(int_data[[#This Row],[date]]),"-",MONTH(int_data[[#This Row],[date]]))</f>
        <v>2023-11</v>
      </c>
      <c r="C332">
        <v>62.21</v>
      </c>
      <c r="D332">
        <v>211.63</v>
      </c>
    </row>
    <row r="333" spans="1:4" x14ac:dyDescent="0.2">
      <c r="A333" s="1">
        <v>45258</v>
      </c>
      <c r="B333" s="1" t="str">
        <f>_xlfn.CONCAT(YEAR(int_data[[#This Row],[date]]),"-",MONTH(int_data[[#This Row],[date]]))</f>
        <v>2023-11</v>
      </c>
      <c r="C333">
        <v>62.4</v>
      </c>
      <c r="D333">
        <v>214.35</v>
      </c>
    </row>
    <row r="334" spans="1:4" x14ac:dyDescent="0.2">
      <c r="A334" s="1">
        <v>45259</v>
      </c>
      <c r="B334" s="1" t="str">
        <f>_xlfn.CONCAT(YEAR(int_data[[#This Row],[date]]),"-",MONTH(int_data[[#This Row],[date]]))</f>
        <v>2023-11</v>
      </c>
      <c r="C334">
        <v>62.59</v>
      </c>
      <c r="D334">
        <v>217.07</v>
      </c>
    </row>
    <row r="335" spans="1:4" x14ac:dyDescent="0.2">
      <c r="A335" s="1">
        <v>45260</v>
      </c>
      <c r="B335" s="1" t="str">
        <f>_xlfn.CONCAT(YEAR(int_data[[#This Row],[date]]),"-",MONTH(int_data[[#This Row],[date]]))</f>
        <v>2023-11</v>
      </c>
      <c r="C335">
        <v>63.2</v>
      </c>
      <c r="D335">
        <v>215.82</v>
      </c>
    </row>
    <row r="336" spans="1:4" x14ac:dyDescent="0.2">
      <c r="A336" s="1">
        <v>45261</v>
      </c>
      <c r="B336" s="1" t="str">
        <f>_xlfn.CONCAT(YEAR(int_data[[#This Row],[date]]),"-",MONTH(int_data[[#This Row],[date]]))</f>
        <v>2023-12</v>
      </c>
      <c r="C336">
        <v>62.47</v>
      </c>
      <c r="D336">
        <v>209.12</v>
      </c>
    </row>
    <row r="337" spans="1:4" x14ac:dyDescent="0.2">
      <c r="A337" s="1">
        <v>45262</v>
      </c>
      <c r="B337" s="1" t="str">
        <f>_xlfn.CONCAT(YEAR(int_data[[#This Row],[date]]),"-",MONTH(int_data[[#This Row],[date]]))</f>
        <v>2023-12</v>
      </c>
      <c r="C337">
        <v>63.61</v>
      </c>
      <c r="D337">
        <v>214.98</v>
      </c>
    </row>
    <row r="338" spans="1:4" x14ac:dyDescent="0.2">
      <c r="A338" s="1">
        <v>45263</v>
      </c>
      <c r="B338" s="1" t="str">
        <f>_xlfn.CONCAT(YEAR(int_data[[#This Row],[date]]),"-",MONTH(int_data[[#This Row],[date]]))</f>
        <v>2023-12</v>
      </c>
      <c r="C338">
        <v>65.58</v>
      </c>
      <c r="D338">
        <v>210.8</v>
      </c>
    </row>
    <row r="339" spans="1:4" x14ac:dyDescent="0.2">
      <c r="A339" s="1">
        <v>45264</v>
      </c>
      <c r="B339" s="1" t="str">
        <f>_xlfn.CONCAT(YEAR(int_data[[#This Row],[date]]),"-",MONTH(int_data[[#This Row],[date]]))</f>
        <v>2023-12</v>
      </c>
      <c r="C339">
        <v>65.819999999999993</v>
      </c>
      <c r="D339">
        <v>238.4</v>
      </c>
    </row>
    <row r="340" spans="1:4" x14ac:dyDescent="0.2">
      <c r="A340" s="1">
        <v>45265</v>
      </c>
      <c r="B340" s="1" t="str">
        <f>_xlfn.CONCAT(YEAR(int_data[[#This Row],[date]]),"-",MONTH(int_data[[#This Row],[date]]))</f>
        <v>2023-12</v>
      </c>
      <c r="C340">
        <v>68.260000000000005</v>
      </c>
      <c r="D340">
        <v>240.91</v>
      </c>
    </row>
    <row r="341" spans="1:4" x14ac:dyDescent="0.2">
      <c r="A341" s="1">
        <v>45266</v>
      </c>
      <c r="B341" s="1" t="str">
        <f>_xlfn.CONCAT(YEAR(int_data[[#This Row],[date]]),"-",MONTH(int_data[[#This Row],[date]]))</f>
        <v>2023-12</v>
      </c>
      <c r="C341">
        <v>67.875</v>
      </c>
      <c r="D341">
        <v>238.19</v>
      </c>
    </row>
    <row r="342" spans="1:4" x14ac:dyDescent="0.2">
      <c r="A342" s="1">
        <v>45267</v>
      </c>
      <c r="B342" s="1" t="str">
        <f>_xlfn.CONCAT(YEAR(int_data[[#This Row],[date]]),"-",MONTH(int_data[[#This Row],[date]]))</f>
        <v>2023-12</v>
      </c>
      <c r="C342">
        <v>67.489999999999995</v>
      </c>
      <c r="D342">
        <v>235.47</v>
      </c>
    </row>
    <row r="343" spans="1:4" x14ac:dyDescent="0.2">
      <c r="A343" s="1">
        <v>45268</v>
      </c>
      <c r="B343" s="1" t="str">
        <f>_xlfn.CONCAT(YEAR(int_data[[#This Row],[date]]),"-",MONTH(int_data[[#This Row],[date]]))</f>
        <v>2023-12</v>
      </c>
      <c r="C343">
        <v>67.58</v>
      </c>
      <c r="D343">
        <v>242.16</v>
      </c>
    </row>
    <row r="344" spans="1:4" x14ac:dyDescent="0.2">
      <c r="A344" s="1">
        <v>45269</v>
      </c>
      <c r="B344" s="1" t="str">
        <f>_xlfn.CONCAT(YEAR(int_data[[#This Row],[date]]),"-",MONTH(int_data[[#This Row],[date]]))</f>
        <v>2023-12</v>
      </c>
      <c r="C344">
        <v>67.77</v>
      </c>
      <c r="D344">
        <v>239.655</v>
      </c>
    </row>
    <row r="345" spans="1:4" x14ac:dyDescent="0.2">
      <c r="A345" s="1">
        <v>45270</v>
      </c>
      <c r="B345" s="1" t="str">
        <f>_xlfn.CONCAT(YEAR(int_data[[#This Row],[date]]),"-",MONTH(int_data[[#This Row],[date]]))</f>
        <v>2023-12</v>
      </c>
      <c r="C345">
        <v>67.959999999999994</v>
      </c>
      <c r="D345">
        <v>237.15</v>
      </c>
    </row>
    <row r="346" spans="1:4" x14ac:dyDescent="0.2">
      <c r="A346" s="1">
        <v>45271</v>
      </c>
      <c r="B346" s="1" t="str">
        <f>_xlfn.CONCAT(YEAR(int_data[[#This Row],[date]]),"-",MONTH(int_data[[#This Row],[date]]))</f>
        <v>2023-12</v>
      </c>
      <c r="C346">
        <v>66.8</v>
      </c>
      <c r="D346">
        <v>228.78</v>
      </c>
    </row>
    <row r="347" spans="1:4" x14ac:dyDescent="0.2">
      <c r="A347" s="1">
        <v>45272</v>
      </c>
      <c r="B347" s="1" t="str">
        <f>_xlfn.CONCAT(YEAR(int_data[[#This Row],[date]]),"-",MONTH(int_data[[#This Row],[date]]))</f>
        <v>2023-12</v>
      </c>
      <c r="C347">
        <v>66.66</v>
      </c>
      <c r="D347">
        <v>230.04</v>
      </c>
    </row>
    <row r="348" spans="1:4" x14ac:dyDescent="0.2">
      <c r="A348" s="1">
        <v>45273</v>
      </c>
      <c r="B348" s="1" t="str">
        <f>_xlfn.CONCAT(YEAR(int_data[[#This Row],[date]]),"-",MONTH(int_data[[#This Row],[date]]))</f>
        <v>2023-12</v>
      </c>
      <c r="C348">
        <v>67.540000000000006</v>
      </c>
      <c r="D348">
        <v>235.06</v>
      </c>
    </row>
    <row r="349" spans="1:4" x14ac:dyDescent="0.2">
      <c r="A349" s="1">
        <v>45274</v>
      </c>
      <c r="B349" s="1" t="str">
        <f>_xlfn.CONCAT(YEAR(int_data[[#This Row],[date]]),"-",MONTH(int_data[[#This Row],[date]]))</f>
        <v>2023-12</v>
      </c>
      <c r="C349">
        <v>67.37</v>
      </c>
      <c r="D349">
        <v>229.2</v>
      </c>
    </row>
    <row r="350" spans="1:4" x14ac:dyDescent="0.2">
      <c r="A350" s="1">
        <v>45275</v>
      </c>
      <c r="B350" s="1" t="str">
        <f>_xlfn.CONCAT(YEAR(int_data[[#This Row],[date]]),"-",MONTH(int_data[[#This Row],[date]]))</f>
        <v>2023-12</v>
      </c>
      <c r="C350">
        <v>70.36</v>
      </c>
      <c r="D350">
        <v>233.38</v>
      </c>
    </row>
    <row r="351" spans="1:4" x14ac:dyDescent="0.2">
      <c r="A351" s="1">
        <v>45276</v>
      </c>
      <c r="B351" s="1" t="str">
        <f>_xlfn.CONCAT(YEAR(int_data[[#This Row],[date]]),"-",MONTH(int_data[[#This Row],[date]]))</f>
        <v>2023-12</v>
      </c>
      <c r="C351">
        <v>70.64</v>
      </c>
      <c r="D351">
        <v>232.55</v>
      </c>
    </row>
    <row r="352" spans="1:4" x14ac:dyDescent="0.2">
      <c r="A352" s="1">
        <v>45277</v>
      </c>
      <c r="B352" s="1" t="str">
        <f>_xlfn.CONCAT(YEAR(int_data[[#This Row],[date]]),"-",MONTH(int_data[[#This Row],[date]]))</f>
        <v>2023-12</v>
      </c>
      <c r="C352">
        <v>71.325000000000003</v>
      </c>
      <c r="D352">
        <v>234.22</v>
      </c>
    </row>
    <row r="353" spans="1:4" x14ac:dyDescent="0.2">
      <c r="A353" s="1">
        <v>45278</v>
      </c>
      <c r="B353" s="1" t="str">
        <f>_xlfn.CONCAT(YEAR(int_data[[#This Row],[date]]),"-",MONTH(int_data[[#This Row],[date]]))</f>
        <v>2023-12</v>
      </c>
      <c r="C353">
        <v>72.010000000000005</v>
      </c>
      <c r="D353">
        <v>235.89</v>
      </c>
    </row>
    <row r="354" spans="1:4" x14ac:dyDescent="0.2">
      <c r="A354" s="1">
        <v>45279</v>
      </c>
      <c r="B354" s="1" t="str">
        <f>_xlfn.CONCAT(YEAR(int_data[[#This Row],[date]]),"-",MONTH(int_data[[#This Row],[date]]))</f>
        <v>2023-12</v>
      </c>
      <c r="C354">
        <v>71.8</v>
      </c>
      <c r="D354">
        <v>240.49</v>
      </c>
    </row>
    <row r="355" spans="1:4" x14ac:dyDescent="0.2">
      <c r="A355" s="1">
        <v>45280</v>
      </c>
      <c r="B355" s="1" t="str">
        <f>_xlfn.CONCAT(YEAR(int_data[[#This Row],[date]]),"-",MONTH(int_data[[#This Row],[date]]))</f>
        <v>2023-12</v>
      </c>
      <c r="C355">
        <v>72.775000000000006</v>
      </c>
      <c r="D355">
        <v>242.375</v>
      </c>
    </row>
    <row r="356" spans="1:4" x14ac:dyDescent="0.2">
      <c r="A356" s="1">
        <v>45281</v>
      </c>
      <c r="B356" s="1" t="str">
        <f>_xlfn.CONCAT(YEAR(int_data[[#This Row],[date]]),"-",MONTH(int_data[[#This Row],[date]]))</f>
        <v>2023-12</v>
      </c>
      <c r="C356">
        <v>73.75</v>
      </c>
      <c r="D356">
        <v>244.26</v>
      </c>
    </row>
    <row r="357" spans="1:4" x14ac:dyDescent="0.2">
      <c r="A357" s="1">
        <v>45282</v>
      </c>
      <c r="B357" s="1" t="str">
        <f>_xlfn.CONCAT(YEAR(int_data[[#This Row],[date]]),"-",MONTH(int_data[[#This Row],[date]]))</f>
        <v>2023-12</v>
      </c>
      <c r="C357">
        <v>74.040000000000006</v>
      </c>
      <c r="D357">
        <v>246.77</v>
      </c>
    </row>
    <row r="358" spans="1:4" x14ac:dyDescent="0.2">
      <c r="A358" s="1">
        <v>45283</v>
      </c>
      <c r="B358" s="1" t="str">
        <f>_xlfn.CONCAT(YEAR(int_data[[#This Row],[date]]),"-",MONTH(int_data[[#This Row],[date]]))</f>
        <v>2023-12</v>
      </c>
      <c r="C358">
        <v>76.06</v>
      </c>
      <c r="D358">
        <v>247.6</v>
      </c>
    </row>
    <row r="359" spans="1:4" x14ac:dyDescent="0.2">
      <c r="A359" s="1">
        <v>45284</v>
      </c>
      <c r="B359" s="1" t="str">
        <f>_xlfn.CONCAT(YEAR(int_data[[#This Row],[date]]),"-",MONTH(int_data[[#This Row],[date]]))</f>
        <v>2023-12</v>
      </c>
      <c r="C359">
        <v>76.760000000000005</v>
      </c>
      <c r="D359">
        <v>253.04</v>
      </c>
    </row>
    <row r="360" spans="1:4" x14ac:dyDescent="0.2">
      <c r="A360" s="1">
        <v>45285</v>
      </c>
      <c r="B360" s="1" t="str">
        <f>_xlfn.CONCAT(YEAR(int_data[[#This Row],[date]]),"-",MONTH(int_data[[#This Row],[date]]))</f>
        <v>2023-12</v>
      </c>
      <c r="C360">
        <v>77.37</v>
      </c>
      <c r="D360">
        <v>255.13</v>
      </c>
    </row>
    <row r="361" spans="1:4" x14ac:dyDescent="0.2">
      <c r="A361" s="1">
        <v>45286</v>
      </c>
      <c r="B361" s="1" t="str">
        <f>_xlfn.CONCAT(YEAR(int_data[[#This Row],[date]]),"-",MONTH(int_data[[#This Row],[date]]))</f>
        <v>2023-12</v>
      </c>
      <c r="C361">
        <v>76.22</v>
      </c>
      <c r="D361">
        <v>259.31</v>
      </c>
    </row>
    <row r="362" spans="1:4" x14ac:dyDescent="0.2">
      <c r="A362" s="1">
        <v>45287</v>
      </c>
      <c r="B362" s="1" t="str">
        <f>_xlfn.CONCAT(YEAR(int_data[[#This Row],[date]]),"-",MONTH(int_data[[#This Row],[date]]))</f>
        <v>2023-12</v>
      </c>
      <c r="C362">
        <v>77.89</v>
      </c>
      <c r="D362">
        <v>255.97</v>
      </c>
    </row>
    <row r="363" spans="1:4" x14ac:dyDescent="0.2">
      <c r="A363" s="1">
        <v>45288</v>
      </c>
      <c r="B363" s="1" t="str">
        <f>_xlfn.CONCAT(YEAR(int_data[[#This Row],[date]]),"-",MONTH(int_data[[#This Row],[date]]))</f>
        <v>2023-12</v>
      </c>
      <c r="C363">
        <v>80.625</v>
      </c>
      <c r="D363">
        <v>258.89499999999998</v>
      </c>
    </row>
    <row r="364" spans="1:4" x14ac:dyDescent="0.2">
      <c r="A364" s="1">
        <v>45289</v>
      </c>
      <c r="B364" s="1" t="str">
        <f>_xlfn.CONCAT(YEAR(int_data[[#This Row],[date]]),"-",MONTH(int_data[[#This Row],[date]]))</f>
        <v>2023-12</v>
      </c>
      <c r="C364">
        <v>83.36</v>
      </c>
      <c r="D364">
        <v>261.82</v>
      </c>
    </row>
    <row r="365" spans="1:4" x14ac:dyDescent="0.2">
      <c r="A365" s="1">
        <v>45290</v>
      </c>
      <c r="B365" s="1" t="str">
        <f>_xlfn.CONCAT(YEAR(int_data[[#This Row],[date]]),"-",MONTH(int_data[[#This Row],[date]]))</f>
        <v>2023-12</v>
      </c>
      <c r="C365">
        <v>82.42</v>
      </c>
      <c r="D365">
        <v>260.57</v>
      </c>
    </row>
    <row r="366" spans="1:4" x14ac:dyDescent="0.2">
      <c r="A366" s="1">
        <v>45291</v>
      </c>
      <c r="B366" s="1" t="str">
        <f>_xlfn.CONCAT(YEAR(int_data[[#This Row],[date]]),"-",MONTH(int_data[[#This Row],[date]]))</f>
        <v>2023-12</v>
      </c>
      <c r="C366">
        <v>81.98</v>
      </c>
      <c r="D366">
        <v>257.43</v>
      </c>
    </row>
    <row r="367" spans="1:4" x14ac:dyDescent="0.2">
      <c r="A367" s="1">
        <v>45292</v>
      </c>
      <c r="B367" s="1" t="str">
        <f>_xlfn.CONCAT(YEAR(int_data[[#This Row],[date]]),"-",MONTH(int_data[[#This Row],[date]]))</f>
        <v>2024-1</v>
      </c>
      <c r="C367">
        <v>81.540000000000006</v>
      </c>
      <c r="D367">
        <v>254.29</v>
      </c>
    </row>
    <row r="368" spans="1:4" x14ac:dyDescent="0.2">
      <c r="A368" s="1">
        <v>45293</v>
      </c>
      <c r="B368" s="1" t="str">
        <f>_xlfn.CONCAT(YEAR(int_data[[#This Row],[date]]),"-",MONTH(int_data[[#This Row],[date]]))</f>
        <v>2024-1</v>
      </c>
      <c r="C368">
        <v>79.12</v>
      </c>
      <c r="D368">
        <v>253.88</v>
      </c>
    </row>
    <row r="369" spans="1:4" x14ac:dyDescent="0.2">
      <c r="A369" s="1">
        <v>45294</v>
      </c>
      <c r="B369" s="1" t="str">
        <f>_xlfn.CONCAT(YEAR(int_data[[#This Row],[date]]),"-",MONTH(int_data[[#This Row],[date]]))</f>
        <v>2024-1</v>
      </c>
      <c r="C369">
        <v>77.97</v>
      </c>
      <c r="D369">
        <v>254.71</v>
      </c>
    </row>
    <row r="370" spans="1:4" x14ac:dyDescent="0.2">
      <c r="A370" s="1">
        <v>45295</v>
      </c>
      <c r="B370" s="1" t="str">
        <f>_xlfn.CONCAT(YEAR(int_data[[#This Row],[date]]),"-",MONTH(int_data[[#This Row],[date]]))</f>
        <v>2024-1</v>
      </c>
      <c r="C370">
        <v>77.625</v>
      </c>
      <c r="D370">
        <v>256.38499999999999</v>
      </c>
    </row>
    <row r="371" spans="1:4" x14ac:dyDescent="0.2">
      <c r="A371" s="1">
        <v>45296</v>
      </c>
      <c r="B371" s="1" t="str">
        <f>_xlfn.CONCAT(YEAR(int_data[[#This Row],[date]]),"-",MONTH(int_data[[#This Row],[date]]))</f>
        <v>2024-1</v>
      </c>
      <c r="C371">
        <v>77.28</v>
      </c>
      <c r="D371">
        <v>258.06</v>
      </c>
    </row>
    <row r="372" spans="1:4" x14ac:dyDescent="0.2">
      <c r="A372" s="1">
        <v>45297</v>
      </c>
      <c r="B372" s="1" t="str">
        <f>_xlfn.CONCAT(YEAR(int_data[[#This Row],[date]]),"-",MONTH(int_data[[#This Row],[date]]))</f>
        <v>2024-1</v>
      </c>
      <c r="C372">
        <v>78.44</v>
      </c>
      <c r="D372">
        <v>257.22000000000003</v>
      </c>
    </row>
    <row r="373" spans="1:4" x14ac:dyDescent="0.2">
      <c r="A373" s="1">
        <v>45298</v>
      </c>
      <c r="B373" s="1" t="str">
        <f>_xlfn.CONCAT(YEAR(int_data[[#This Row],[date]]),"-",MONTH(int_data[[#This Row],[date]]))</f>
        <v>2024-1</v>
      </c>
      <c r="C373">
        <v>79.09</v>
      </c>
      <c r="D373">
        <v>262.66000000000003</v>
      </c>
    </row>
    <row r="374" spans="1:4" x14ac:dyDescent="0.2">
      <c r="A374" s="1">
        <v>45299</v>
      </c>
      <c r="B374" s="1" t="str">
        <f>_xlfn.CONCAT(YEAR(int_data[[#This Row],[date]]),"-",MONTH(int_data[[#This Row],[date]]))</f>
        <v>2024-1</v>
      </c>
      <c r="C374">
        <v>83.26</v>
      </c>
      <c r="D374">
        <v>261.82</v>
      </c>
    </row>
    <row r="375" spans="1:4" x14ac:dyDescent="0.2">
      <c r="A375" s="1">
        <v>45300</v>
      </c>
      <c r="B375" s="1" t="str">
        <f>_xlfn.CONCAT(YEAR(int_data[[#This Row],[date]]),"-",MONTH(int_data[[#This Row],[date]]))</f>
        <v>2024-1</v>
      </c>
      <c r="C375">
        <v>83.45</v>
      </c>
      <c r="D375">
        <v>263.5</v>
      </c>
    </row>
    <row r="376" spans="1:4" x14ac:dyDescent="0.2">
      <c r="A376" s="1">
        <v>45301</v>
      </c>
      <c r="B376" s="1" t="str">
        <f>_xlfn.CONCAT(YEAR(int_data[[#This Row],[date]]),"-",MONTH(int_data[[#This Row],[date]]))</f>
        <v>2024-1</v>
      </c>
      <c r="C376">
        <v>83.004999999999995</v>
      </c>
      <c r="D376">
        <v>264.755</v>
      </c>
    </row>
    <row r="377" spans="1:4" x14ac:dyDescent="0.2">
      <c r="A377" s="1">
        <v>45302</v>
      </c>
      <c r="B377" s="1" t="str">
        <f>_xlfn.CONCAT(YEAR(int_data[[#This Row],[date]]),"-",MONTH(int_data[[#This Row],[date]]))</f>
        <v>2024-1</v>
      </c>
      <c r="C377">
        <v>82.56</v>
      </c>
      <c r="D377">
        <v>266.01</v>
      </c>
    </row>
    <row r="378" spans="1:4" x14ac:dyDescent="0.2">
      <c r="A378" s="1">
        <v>45303</v>
      </c>
      <c r="B378" s="1" t="str">
        <f>_xlfn.CONCAT(YEAR(int_data[[#This Row],[date]]),"-",MONTH(int_data[[#This Row],[date]]))</f>
        <v>2024-1</v>
      </c>
      <c r="C378">
        <v>83.92</v>
      </c>
      <c r="D378">
        <v>272.27999999999997</v>
      </c>
    </row>
    <row r="379" spans="1:4" x14ac:dyDescent="0.2">
      <c r="A379" s="1">
        <v>45304</v>
      </c>
      <c r="B379" s="1" t="str">
        <f>_xlfn.CONCAT(YEAR(int_data[[#This Row],[date]]),"-",MONTH(int_data[[#This Row],[date]]))</f>
        <v>2024-1</v>
      </c>
      <c r="C379">
        <v>83.094999999999999</v>
      </c>
      <c r="D379">
        <v>268.51499999999999</v>
      </c>
    </row>
    <row r="380" spans="1:4" x14ac:dyDescent="0.2">
      <c r="A380" s="1">
        <v>45305</v>
      </c>
      <c r="B380" s="1" t="str">
        <f>_xlfn.CONCAT(YEAR(int_data[[#This Row],[date]]),"-",MONTH(int_data[[#This Row],[date]]))</f>
        <v>2024-1</v>
      </c>
      <c r="C380">
        <v>82.27</v>
      </c>
      <c r="D380">
        <v>264.75</v>
      </c>
    </row>
    <row r="381" spans="1:4" x14ac:dyDescent="0.2">
      <c r="A381" s="1">
        <v>45306</v>
      </c>
      <c r="B381" s="1" t="str">
        <f>_xlfn.CONCAT(YEAR(int_data[[#This Row],[date]]),"-",MONTH(int_data[[#This Row],[date]]))</f>
        <v>2024-1</v>
      </c>
      <c r="C381">
        <v>82.02</v>
      </c>
      <c r="D381">
        <v>258.89999999999998</v>
      </c>
    </row>
    <row r="382" spans="1:4" x14ac:dyDescent="0.2">
      <c r="A382" s="1">
        <v>45307</v>
      </c>
      <c r="B382" s="1" t="str">
        <f>_xlfn.CONCAT(YEAR(int_data[[#This Row],[date]]),"-",MONTH(int_data[[#This Row],[date]]))</f>
        <v>2024-1</v>
      </c>
      <c r="C382">
        <v>80.84</v>
      </c>
      <c r="D382">
        <v>258.06</v>
      </c>
    </row>
    <row r="383" spans="1:4" x14ac:dyDescent="0.2">
      <c r="A383" s="1">
        <v>45308</v>
      </c>
      <c r="B383" s="1" t="str">
        <f>_xlfn.CONCAT(YEAR(int_data[[#This Row],[date]]),"-",MONTH(int_data[[#This Row],[date]]))</f>
        <v>2024-1</v>
      </c>
      <c r="C383">
        <v>84.22</v>
      </c>
      <c r="D383">
        <v>272.7</v>
      </c>
    </row>
    <row r="384" spans="1:4" x14ac:dyDescent="0.2">
      <c r="A384" s="1">
        <v>45309</v>
      </c>
      <c r="B384" s="1" t="str">
        <f>_xlfn.CONCAT(YEAR(int_data[[#This Row],[date]]),"-",MONTH(int_data[[#This Row],[date]]))</f>
        <v>2024-1</v>
      </c>
      <c r="C384">
        <v>82.86</v>
      </c>
      <c r="D384">
        <v>269.77</v>
      </c>
    </row>
    <row r="385" spans="1:4" x14ac:dyDescent="0.2">
      <c r="A385" s="1">
        <v>45310</v>
      </c>
      <c r="B385" s="1" t="str">
        <f>_xlfn.CONCAT(YEAR(int_data[[#This Row],[date]]),"-",MONTH(int_data[[#This Row],[date]]))</f>
        <v>2024-1</v>
      </c>
      <c r="C385">
        <v>82.81</v>
      </c>
      <c r="D385">
        <v>270.19</v>
      </c>
    </row>
    <row r="386" spans="1:4" x14ac:dyDescent="0.2">
      <c r="A386" s="1">
        <v>45311</v>
      </c>
      <c r="B386" s="1" t="str">
        <f>_xlfn.CONCAT(YEAR(int_data[[#This Row],[date]]),"-",MONTH(int_data[[#This Row],[date]]))</f>
        <v>2024-1</v>
      </c>
      <c r="C386">
        <v>83.97</v>
      </c>
      <c r="D386">
        <v>280.23</v>
      </c>
    </row>
    <row r="387" spans="1:4" x14ac:dyDescent="0.2">
      <c r="A387" s="1">
        <v>45312</v>
      </c>
      <c r="B387" s="1" t="str">
        <f>_xlfn.CONCAT(YEAR(int_data[[#This Row],[date]]),"-",MONTH(int_data[[#This Row],[date]]))</f>
        <v>2024-1</v>
      </c>
      <c r="C387">
        <v>84.06</v>
      </c>
      <c r="D387">
        <v>280.64499999999998</v>
      </c>
    </row>
    <row r="388" spans="1:4" x14ac:dyDescent="0.2">
      <c r="A388" s="1">
        <v>45313</v>
      </c>
      <c r="B388" s="1" t="str">
        <f>_xlfn.CONCAT(YEAR(int_data[[#This Row],[date]]),"-",MONTH(int_data[[#This Row],[date]]))</f>
        <v>2024-1</v>
      </c>
      <c r="C388">
        <v>84.15</v>
      </c>
      <c r="D388">
        <v>281.06</v>
      </c>
    </row>
    <row r="389" spans="1:4" x14ac:dyDescent="0.2">
      <c r="A389" s="1">
        <v>45314</v>
      </c>
      <c r="B389" s="1" t="str">
        <f>_xlfn.CONCAT(YEAR(int_data[[#This Row],[date]]),"-",MONTH(int_data[[#This Row],[date]]))</f>
        <v>2024-1</v>
      </c>
      <c r="C389">
        <v>85.14</v>
      </c>
      <c r="D389">
        <v>283.99</v>
      </c>
    </row>
    <row r="390" spans="1:4" x14ac:dyDescent="0.2">
      <c r="A390" s="1">
        <v>45315</v>
      </c>
      <c r="B390" s="1" t="str">
        <f>_xlfn.CONCAT(YEAR(int_data[[#This Row],[date]]),"-",MONTH(int_data[[#This Row],[date]]))</f>
        <v>2024-1</v>
      </c>
      <c r="C390">
        <v>85.38</v>
      </c>
      <c r="D390">
        <v>287.96499999999997</v>
      </c>
    </row>
    <row r="391" spans="1:4" x14ac:dyDescent="0.2">
      <c r="A391" s="1">
        <v>45316</v>
      </c>
      <c r="B391" s="1" t="str">
        <f>_xlfn.CONCAT(YEAR(int_data[[#This Row],[date]]),"-",MONTH(int_data[[#This Row],[date]]))</f>
        <v>2024-1</v>
      </c>
      <c r="C391">
        <v>85.62</v>
      </c>
      <c r="D391">
        <v>291.94</v>
      </c>
    </row>
    <row r="392" spans="1:4" x14ac:dyDescent="0.2">
      <c r="A392" s="1">
        <v>45317</v>
      </c>
      <c r="B392" s="1" t="str">
        <f>_xlfn.CONCAT(YEAR(int_data[[#This Row],[date]]),"-",MONTH(int_data[[#This Row],[date]]))</f>
        <v>2024-1</v>
      </c>
      <c r="C392">
        <v>85.99</v>
      </c>
      <c r="D392">
        <v>290.68</v>
      </c>
    </row>
    <row r="393" spans="1:4" x14ac:dyDescent="0.2">
      <c r="A393" s="1">
        <v>45318</v>
      </c>
      <c r="B393" s="1" t="str">
        <f>_xlfn.CONCAT(YEAR(int_data[[#This Row],[date]]),"-",MONTH(int_data[[#This Row],[date]]))</f>
        <v>2024-1</v>
      </c>
      <c r="C393">
        <v>88.8</v>
      </c>
      <c r="D393">
        <v>284.41000000000003</v>
      </c>
    </row>
    <row r="394" spans="1:4" x14ac:dyDescent="0.2">
      <c r="A394" s="1">
        <v>45319</v>
      </c>
      <c r="B394" s="1" t="str">
        <f>_xlfn.CONCAT(YEAR(int_data[[#This Row],[date]]),"-",MONTH(int_data[[#This Row],[date]]))</f>
        <v>2024-1</v>
      </c>
      <c r="C394">
        <v>91.93</v>
      </c>
      <c r="D394">
        <v>288.58999999999997</v>
      </c>
    </row>
    <row r="395" spans="1:4" x14ac:dyDescent="0.2">
      <c r="A395" s="1">
        <v>45320</v>
      </c>
      <c r="B395" s="1" t="str">
        <f>_xlfn.CONCAT(YEAR(int_data[[#This Row],[date]]),"-",MONTH(int_data[[#This Row],[date]]))</f>
        <v>2024-1</v>
      </c>
      <c r="C395">
        <v>93.01</v>
      </c>
      <c r="D395">
        <v>292.36</v>
      </c>
    </row>
    <row r="396" spans="1:4" x14ac:dyDescent="0.2">
      <c r="A396" s="1">
        <v>45321</v>
      </c>
      <c r="B396" s="1" t="str">
        <f>_xlfn.CONCAT(YEAR(int_data[[#This Row],[date]]),"-",MONTH(int_data[[#This Row],[date]]))</f>
        <v>2024-1</v>
      </c>
      <c r="C396">
        <v>89.58</v>
      </c>
      <c r="D396">
        <v>289.43</v>
      </c>
    </row>
    <row r="397" spans="1:4" x14ac:dyDescent="0.2">
      <c r="A397" s="1">
        <v>45322</v>
      </c>
      <c r="B397" s="1" t="str">
        <f>_xlfn.CONCAT(YEAR(int_data[[#This Row],[date]]),"-",MONTH(int_data[[#This Row],[date]]))</f>
        <v>2024-1</v>
      </c>
      <c r="C397">
        <v>91.8</v>
      </c>
      <c r="D397">
        <v>292.36</v>
      </c>
    </row>
    <row r="398" spans="1:4" x14ac:dyDescent="0.2">
      <c r="A398" s="1">
        <v>45323</v>
      </c>
      <c r="B398" s="1" t="str">
        <f>_xlfn.CONCAT(YEAR(int_data[[#This Row],[date]]),"-",MONTH(int_data[[#This Row],[date]]))</f>
        <v>2024-2</v>
      </c>
      <c r="C398">
        <v>90.08</v>
      </c>
      <c r="D398">
        <v>290.89499999999998</v>
      </c>
    </row>
    <row r="399" spans="1:4" x14ac:dyDescent="0.2">
      <c r="A399" s="1">
        <v>45324</v>
      </c>
      <c r="B399" s="1" t="str">
        <f>_xlfn.CONCAT(YEAR(int_data[[#This Row],[date]]),"-",MONTH(int_data[[#This Row],[date]]))</f>
        <v>2024-2</v>
      </c>
      <c r="C399">
        <v>88.36</v>
      </c>
      <c r="D399">
        <v>289.43</v>
      </c>
    </row>
    <row r="400" spans="1:4" x14ac:dyDescent="0.2">
      <c r="A400" s="1">
        <v>45325</v>
      </c>
      <c r="B400" s="1" t="str">
        <f>_xlfn.CONCAT(YEAR(int_data[[#This Row],[date]]),"-",MONTH(int_data[[#This Row],[date]]))</f>
        <v>2024-2</v>
      </c>
      <c r="C400">
        <v>87.36</v>
      </c>
      <c r="D400">
        <v>286.92</v>
      </c>
    </row>
    <row r="401" spans="1:4" x14ac:dyDescent="0.2">
      <c r="A401" s="1">
        <v>45326</v>
      </c>
      <c r="B401" s="1" t="str">
        <f>_xlfn.CONCAT(YEAR(int_data[[#This Row],[date]]),"-",MONTH(int_data[[#This Row],[date]]))</f>
        <v>2024-2</v>
      </c>
      <c r="C401">
        <v>87.6</v>
      </c>
      <c r="D401">
        <v>289.01</v>
      </c>
    </row>
    <row r="402" spans="1:4" x14ac:dyDescent="0.2">
      <c r="A402" s="1">
        <v>45327</v>
      </c>
      <c r="B402" s="1" t="str">
        <f>_xlfn.CONCAT(YEAR(int_data[[#This Row],[date]]),"-",MONTH(int_data[[#This Row],[date]]))</f>
        <v>2024-2</v>
      </c>
      <c r="C402">
        <v>87.84</v>
      </c>
      <c r="D402">
        <v>291.10000000000002</v>
      </c>
    </row>
    <row r="403" spans="1:4" x14ac:dyDescent="0.2">
      <c r="A403" s="1">
        <v>45328</v>
      </c>
      <c r="B403" s="1" t="str">
        <f>_xlfn.CONCAT(YEAR(int_data[[#This Row],[date]]),"-",MONTH(int_data[[#This Row],[date]]))</f>
        <v>2024-2</v>
      </c>
      <c r="C403">
        <v>86.86</v>
      </c>
      <c r="D403">
        <v>277.68</v>
      </c>
    </row>
    <row r="404" spans="1:4" x14ac:dyDescent="0.2">
      <c r="A404" s="1">
        <v>45329</v>
      </c>
      <c r="B404" s="1" t="str">
        <f>_xlfn.CONCAT(YEAR(int_data[[#This Row],[date]]),"-",MONTH(int_data[[#This Row],[date]]))</f>
        <v>2024-2</v>
      </c>
      <c r="C404">
        <v>88.06</v>
      </c>
      <c r="D404">
        <v>279.52999999999997</v>
      </c>
    </row>
    <row r="405" spans="1:4" x14ac:dyDescent="0.2">
      <c r="A405" s="1">
        <v>45330</v>
      </c>
      <c r="B405" s="1" t="str">
        <f>_xlfn.CONCAT(YEAR(int_data[[#This Row],[date]]),"-",MONTH(int_data[[#This Row],[date]]))</f>
        <v>2024-2</v>
      </c>
      <c r="C405">
        <v>90.84</v>
      </c>
      <c r="D405">
        <v>280.45999999999998</v>
      </c>
    </row>
    <row r="406" spans="1:4" x14ac:dyDescent="0.2">
      <c r="A406" s="1">
        <v>45331</v>
      </c>
      <c r="B406" s="1" t="str">
        <f>_xlfn.CONCAT(YEAR(int_data[[#This Row],[date]]),"-",MONTH(int_data[[#This Row],[date]]))</f>
        <v>2024-2</v>
      </c>
      <c r="C406">
        <v>90.32</v>
      </c>
      <c r="D406">
        <v>280.45999999999998</v>
      </c>
    </row>
    <row r="407" spans="1:4" x14ac:dyDescent="0.2">
      <c r="A407" s="1">
        <v>45332</v>
      </c>
      <c r="B407" s="1" t="str">
        <f>_xlfn.CONCAT(YEAR(int_data[[#This Row],[date]]),"-",MONTH(int_data[[#This Row],[date]]))</f>
        <v>2024-2</v>
      </c>
      <c r="C407">
        <v>92.01</v>
      </c>
      <c r="D407">
        <v>286.01</v>
      </c>
    </row>
    <row r="408" spans="1:4" x14ac:dyDescent="0.2">
      <c r="A408" s="1">
        <v>45333</v>
      </c>
      <c r="B408" s="1" t="str">
        <f>_xlfn.CONCAT(YEAR(int_data[[#This Row],[date]]),"-",MONTH(int_data[[#This Row],[date]]))</f>
        <v>2024-2</v>
      </c>
      <c r="C408">
        <v>89.4</v>
      </c>
      <c r="D408">
        <v>294.33999999999997</v>
      </c>
    </row>
    <row r="409" spans="1:4" x14ac:dyDescent="0.2">
      <c r="A409" s="1">
        <v>45334</v>
      </c>
      <c r="B409" s="1" t="str">
        <f>_xlfn.CONCAT(YEAR(int_data[[#This Row],[date]]),"-",MONTH(int_data[[#This Row],[date]]))</f>
        <v>2024-2</v>
      </c>
      <c r="C409">
        <v>89.534999999999997</v>
      </c>
      <c r="D409">
        <v>291.33</v>
      </c>
    </row>
    <row r="410" spans="1:4" x14ac:dyDescent="0.2">
      <c r="A410" s="1">
        <v>45335</v>
      </c>
      <c r="B410" s="1" t="str">
        <f>_xlfn.CONCAT(YEAR(int_data[[#This Row],[date]]),"-",MONTH(int_data[[#This Row],[date]]))</f>
        <v>2024-2</v>
      </c>
      <c r="C410">
        <v>89.67</v>
      </c>
      <c r="D410">
        <v>288.32</v>
      </c>
    </row>
    <row r="411" spans="1:4" x14ac:dyDescent="0.2">
      <c r="A411" s="1">
        <v>45336</v>
      </c>
      <c r="B411" s="1" t="str">
        <f>_xlfn.CONCAT(YEAR(int_data[[#This Row],[date]]),"-",MONTH(int_data[[#This Row],[date]]))</f>
        <v>2024-2</v>
      </c>
      <c r="C411">
        <v>88.32</v>
      </c>
      <c r="D411">
        <v>290.64</v>
      </c>
    </row>
    <row r="412" spans="1:4" x14ac:dyDescent="0.2">
      <c r="A412" s="1">
        <v>45337</v>
      </c>
      <c r="B412" s="1" t="str">
        <f>_xlfn.CONCAT(YEAR(int_data[[#This Row],[date]]),"-",MONTH(int_data[[#This Row],[date]]))</f>
        <v>2024-2</v>
      </c>
      <c r="C412">
        <v>88.405000000000001</v>
      </c>
      <c r="D412">
        <v>289.71499999999997</v>
      </c>
    </row>
    <row r="413" spans="1:4" x14ac:dyDescent="0.2">
      <c r="A413" s="1">
        <v>45338</v>
      </c>
      <c r="B413" s="1" t="str">
        <f>_xlfn.CONCAT(YEAR(int_data[[#This Row],[date]]),"-",MONTH(int_data[[#This Row],[date]]))</f>
        <v>2024-2</v>
      </c>
      <c r="C413">
        <v>88.49</v>
      </c>
      <c r="D413">
        <v>288.79000000000002</v>
      </c>
    </row>
    <row r="414" spans="1:4" x14ac:dyDescent="0.2">
      <c r="A414" s="1">
        <v>45339</v>
      </c>
      <c r="B414" s="1" t="str">
        <f>_xlfn.CONCAT(YEAR(int_data[[#This Row],[date]]),"-",MONTH(int_data[[#This Row],[date]]))</f>
        <v>2024-2</v>
      </c>
      <c r="C414">
        <v>91.06</v>
      </c>
      <c r="D414">
        <v>295.73</v>
      </c>
    </row>
    <row r="415" spans="1:4" x14ac:dyDescent="0.2">
      <c r="A415" s="1">
        <v>45340</v>
      </c>
      <c r="B415" s="1" t="str">
        <f>_xlfn.CONCAT(YEAR(int_data[[#This Row],[date]]),"-",MONTH(int_data[[#This Row],[date]]))</f>
        <v>2024-2</v>
      </c>
      <c r="C415">
        <v>90.23</v>
      </c>
      <c r="D415">
        <v>294.33999999999997</v>
      </c>
    </row>
    <row r="416" spans="1:4" x14ac:dyDescent="0.2">
      <c r="A416" s="1">
        <v>45341</v>
      </c>
      <c r="B416" s="1" t="str">
        <f>_xlfn.CONCAT(YEAR(int_data[[#This Row],[date]]),"-",MONTH(int_data[[#This Row],[date]]))</f>
        <v>2024-2</v>
      </c>
      <c r="C416">
        <v>90.32</v>
      </c>
      <c r="D416">
        <v>293.41000000000003</v>
      </c>
    </row>
    <row r="417" spans="1:4" x14ac:dyDescent="0.2">
      <c r="A417" s="1">
        <v>45342</v>
      </c>
      <c r="B417" s="1" t="str">
        <f>_xlfn.CONCAT(YEAR(int_data[[#This Row],[date]]),"-",MONTH(int_data[[#This Row],[date]]))</f>
        <v>2024-2</v>
      </c>
      <c r="C417">
        <v>93.36</v>
      </c>
      <c r="D417">
        <v>281.83999999999997</v>
      </c>
    </row>
    <row r="418" spans="1:4" x14ac:dyDescent="0.2">
      <c r="A418" s="1">
        <v>45343</v>
      </c>
      <c r="B418" s="1" t="str">
        <f>_xlfn.CONCAT(YEAR(int_data[[#This Row],[date]]),"-",MONTH(int_data[[#This Row],[date]]))</f>
        <v>2024-2</v>
      </c>
      <c r="C418">
        <v>90.27</v>
      </c>
      <c r="D418">
        <v>286.01</v>
      </c>
    </row>
    <row r="419" spans="1:4" x14ac:dyDescent="0.2">
      <c r="A419" s="1">
        <v>45344</v>
      </c>
      <c r="B419" s="1" t="str">
        <f>_xlfn.CONCAT(YEAR(int_data[[#This Row],[date]]),"-",MONTH(int_data[[#This Row],[date]]))</f>
        <v>2024-2</v>
      </c>
      <c r="C419">
        <v>88.45</v>
      </c>
      <c r="D419">
        <v>278.60000000000002</v>
      </c>
    </row>
    <row r="420" spans="1:4" x14ac:dyDescent="0.2">
      <c r="A420" s="1">
        <v>45345</v>
      </c>
      <c r="B420" s="1" t="str">
        <f>_xlfn.CONCAT(YEAR(int_data[[#This Row],[date]]),"-",MONTH(int_data[[#This Row],[date]]))</f>
        <v>2024-2</v>
      </c>
      <c r="C420">
        <v>89.15</v>
      </c>
      <c r="D420">
        <v>279.52999999999997</v>
      </c>
    </row>
    <row r="421" spans="1:4" x14ac:dyDescent="0.2">
      <c r="A421" s="1">
        <v>45346</v>
      </c>
      <c r="B421" s="1" t="str">
        <f>_xlfn.CONCAT(YEAR(int_data[[#This Row],[date]]),"-",MONTH(int_data[[#This Row],[date]]))</f>
        <v>2024-2</v>
      </c>
      <c r="C421">
        <v>89.85</v>
      </c>
      <c r="D421">
        <v>280.45999999999998</v>
      </c>
    </row>
    <row r="422" spans="1:4" x14ac:dyDescent="0.2">
      <c r="A422" s="1">
        <v>45347</v>
      </c>
      <c r="B422" s="1" t="str">
        <f>_xlfn.CONCAT(YEAR(int_data[[#This Row],[date]]),"-",MONTH(int_data[[#This Row],[date]]))</f>
        <v>2024-2</v>
      </c>
      <c r="C422">
        <v>85.5</v>
      </c>
      <c r="D422">
        <v>274.89999999999998</v>
      </c>
    </row>
    <row r="423" spans="1:4" x14ac:dyDescent="0.2">
      <c r="A423" s="1">
        <v>45348</v>
      </c>
      <c r="B423" s="1" t="str">
        <f>_xlfn.CONCAT(YEAR(int_data[[#This Row],[date]]),"-",MONTH(int_data[[#This Row],[date]]))</f>
        <v>2024-2</v>
      </c>
      <c r="C423">
        <v>86.594999999999999</v>
      </c>
      <c r="D423">
        <v>276.29000000000002</v>
      </c>
    </row>
    <row r="424" spans="1:4" x14ac:dyDescent="0.2">
      <c r="A424" s="1">
        <v>45349</v>
      </c>
      <c r="B424" s="1" t="str">
        <f>_xlfn.CONCAT(YEAR(int_data[[#This Row],[date]]),"-",MONTH(int_data[[#This Row],[date]]))</f>
        <v>2024-2</v>
      </c>
      <c r="C424">
        <v>87.69</v>
      </c>
      <c r="D424">
        <v>277.68</v>
      </c>
    </row>
    <row r="425" spans="1:4" x14ac:dyDescent="0.2">
      <c r="A425" s="1">
        <v>45350</v>
      </c>
      <c r="B425" s="1" t="str">
        <f>_xlfn.CONCAT(YEAR(int_data[[#This Row],[date]]),"-",MONTH(int_data[[#This Row],[date]]))</f>
        <v>2024-2</v>
      </c>
      <c r="C425">
        <v>87.1</v>
      </c>
      <c r="D425">
        <v>273.05</v>
      </c>
    </row>
    <row r="426" spans="1:4" x14ac:dyDescent="0.2">
      <c r="A426" s="1">
        <v>45351</v>
      </c>
      <c r="B426" s="1" t="str">
        <f>_xlfn.CONCAT(YEAR(int_data[[#This Row],[date]]),"-",MONTH(int_data[[#This Row],[date]]))</f>
        <v>2024-2</v>
      </c>
      <c r="C426">
        <v>87.117012987012998</v>
      </c>
      <c r="D426">
        <v>273.06805194805202</v>
      </c>
    </row>
    <row r="427" spans="1:4" x14ac:dyDescent="0.2">
      <c r="A427" s="1">
        <v>45352</v>
      </c>
      <c r="B427" s="1" t="str">
        <f>_xlfn.CONCAT(YEAR(int_data[[#This Row],[date]]),"-",MONTH(int_data[[#This Row],[date]]))</f>
        <v>2024-3</v>
      </c>
      <c r="C427">
        <v>87.134025974026002</v>
      </c>
      <c r="D427">
        <v>273.08610389610402</v>
      </c>
    </row>
    <row r="428" spans="1:4" x14ac:dyDescent="0.2">
      <c r="A428" s="1">
        <v>45353</v>
      </c>
      <c r="B428" s="1" t="str">
        <f>_xlfn.CONCAT(YEAR(int_data[[#This Row],[date]]),"-",MONTH(int_data[[#This Row],[date]]))</f>
        <v>2024-3</v>
      </c>
      <c r="C428">
        <v>87.151038961038907</v>
      </c>
      <c r="D428">
        <v>273.10415584415603</v>
      </c>
    </row>
    <row r="429" spans="1:4" x14ac:dyDescent="0.2">
      <c r="A429" s="1">
        <v>45354</v>
      </c>
      <c r="B429" s="1" t="str">
        <f>_xlfn.CONCAT(YEAR(int_data[[#This Row],[date]]),"-",MONTH(int_data[[#This Row],[date]]))</f>
        <v>2024-3</v>
      </c>
      <c r="C429">
        <v>87.168051948051897</v>
      </c>
      <c r="D429">
        <v>273.12220779220797</v>
      </c>
    </row>
    <row r="430" spans="1:4" x14ac:dyDescent="0.2">
      <c r="A430" s="1">
        <v>45355</v>
      </c>
      <c r="B430" s="1" t="str">
        <f>_xlfn.CONCAT(YEAR(int_data[[#This Row],[date]]),"-",MONTH(int_data[[#This Row],[date]]))</f>
        <v>2024-3</v>
      </c>
      <c r="C430">
        <v>87.185064935064901</v>
      </c>
      <c r="D430">
        <v>273.14025974025998</v>
      </c>
    </row>
    <row r="431" spans="1:4" x14ac:dyDescent="0.2">
      <c r="A431" s="1">
        <v>45356</v>
      </c>
      <c r="B431" s="1" t="str">
        <f>_xlfn.CONCAT(YEAR(int_data[[#This Row],[date]]),"-",MONTH(int_data[[#This Row],[date]]))</f>
        <v>2024-3</v>
      </c>
      <c r="C431">
        <v>87.202077922077905</v>
      </c>
      <c r="D431">
        <v>273.15831168831198</v>
      </c>
    </row>
    <row r="432" spans="1:4" x14ac:dyDescent="0.2">
      <c r="A432" s="1">
        <v>45357</v>
      </c>
      <c r="B432" s="1" t="str">
        <f>_xlfn.CONCAT(YEAR(int_data[[#This Row],[date]]),"-",MONTH(int_data[[#This Row],[date]]))</f>
        <v>2024-3</v>
      </c>
      <c r="C432">
        <v>87.219090909090895</v>
      </c>
      <c r="D432">
        <v>273.17636363636399</v>
      </c>
    </row>
    <row r="433" spans="1:4" x14ac:dyDescent="0.2">
      <c r="A433" s="1">
        <v>45358</v>
      </c>
      <c r="B433" s="1" t="str">
        <f>_xlfn.CONCAT(YEAR(int_data[[#This Row],[date]]),"-",MONTH(int_data[[#This Row],[date]]))</f>
        <v>2024-3</v>
      </c>
      <c r="C433">
        <v>87.236103896103899</v>
      </c>
      <c r="D433">
        <v>273.19441558441599</v>
      </c>
    </row>
    <row r="434" spans="1:4" x14ac:dyDescent="0.2">
      <c r="A434" s="1">
        <v>45359</v>
      </c>
      <c r="B434" s="1" t="str">
        <f>_xlfn.CONCAT(YEAR(int_data[[#This Row],[date]]),"-",MONTH(int_data[[#This Row],[date]]))</f>
        <v>2024-3</v>
      </c>
      <c r="C434">
        <v>87.253116883116903</v>
      </c>
      <c r="D434">
        <v>273.212467532468</v>
      </c>
    </row>
    <row r="435" spans="1:4" x14ac:dyDescent="0.2">
      <c r="A435" s="1">
        <v>45360</v>
      </c>
      <c r="B435" s="1" t="str">
        <f>_xlfn.CONCAT(YEAR(int_data[[#This Row],[date]]),"-",MONTH(int_data[[#This Row],[date]]))</f>
        <v>2024-3</v>
      </c>
      <c r="C435">
        <v>87.270129870129907</v>
      </c>
      <c r="D435">
        <v>273.23051948051898</v>
      </c>
    </row>
    <row r="436" spans="1:4" x14ac:dyDescent="0.2">
      <c r="A436" s="1">
        <v>45361</v>
      </c>
      <c r="B436" s="1" t="str">
        <f>_xlfn.CONCAT(YEAR(int_data[[#This Row],[date]]),"-",MONTH(int_data[[#This Row],[date]]))</f>
        <v>2024-3</v>
      </c>
      <c r="C436">
        <v>87.287142857142896</v>
      </c>
      <c r="D436">
        <v>273.24857142857098</v>
      </c>
    </row>
    <row r="437" spans="1:4" x14ac:dyDescent="0.2">
      <c r="A437" s="1">
        <v>45362</v>
      </c>
      <c r="B437" s="1" t="str">
        <f>_xlfn.CONCAT(YEAR(int_data[[#This Row],[date]]),"-",MONTH(int_data[[#This Row],[date]]))</f>
        <v>2024-3</v>
      </c>
      <c r="C437">
        <v>87.304155844155801</v>
      </c>
      <c r="D437">
        <v>273.26662337662299</v>
      </c>
    </row>
    <row r="438" spans="1:4" x14ac:dyDescent="0.2">
      <c r="A438" s="1">
        <v>45363</v>
      </c>
      <c r="B438" s="1" t="str">
        <f>_xlfn.CONCAT(YEAR(int_data[[#This Row],[date]]),"-",MONTH(int_data[[#This Row],[date]]))</f>
        <v>2024-3</v>
      </c>
      <c r="C438">
        <v>87.321168831168805</v>
      </c>
      <c r="D438">
        <v>273.28467532467499</v>
      </c>
    </row>
    <row r="439" spans="1:4" x14ac:dyDescent="0.2">
      <c r="A439" s="1">
        <v>45364</v>
      </c>
      <c r="B439" s="1" t="str">
        <f>_xlfn.CONCAT(YEAR(int_data[[#This Row],[date]]),"-",MONTH(int_data[[#This Row],[date]]))</f>
        <v>2024-3</v>
      </c>
      <c r="C439">
        <v>87.338181818181795</v>
      </c>
      <c r="D439">
        <v>273.302727272727</v>
      </c>
    </row>
    <row r="440" spans="1:4" x14ac:dyDescent="0.2">
      <c r="A440" s="1">
        <v>45365</v>
      </c>
      <c r="B440" s="1" t="str">
        <f>_xlfn.CONCAT(YEAR(int_data[[#This Row],[date]]),"-",MONTH(int_data[[#This Row],[date]]))</f>
        <v>2024-3</v>
      </c>
      <c r="C440">
        <v>87.355194805194799</v>
      </c>
      <c r="D440">
        <v>273.320779220779</v>
      </c>
    </row>
    <row r="441" spans="1:4" x14ac:dyDescent="0.2">
      <c r="A441" s="1">
        <v>45366</v>
      </c>
      <c r="B441" s="1" t="str">
        <f>_xlfn.CONCAT(YEAR(int_data[[#This Row],[date]]),"-",MONTH(int_data[[#This Row],[date]]))</f>
        <v>2024-3</v>
      </c>
      <c r="C441">
        <v>87.372207792207803</v>
      </c>
      <c r="D441">
        <v>273.33883116883101</v>
      </c>
    </row>
    <row r="442" spans="1:4" x14ac:dyDescent="0.2">
      <c r="A442" s="1">
        <v>45367</v>
      </c>
      <c r="B442" s="1" t="str">
        <f>_xlfn.CONCAT(YEAR(int_data[[#This Row],[date]]),"-",MONTH(int_data[[#This Row],[date]]))</f>
        <v>2024-3</v>
      </c>
      <c r="C442">
        <v>87.389220779220807</v>
      </c>
      <c r="D442">
        <v>273.35688311688301</v>
      </c>
    </row>
    <row r="443" spans="1:4" x14ac:dyDescent="0.2">
      <c r="A443" s="1">
        <v>45368</v>
      </c>
      <c r="B443" s="1" t="str">
        <f>_xlfn.CONCAT(YEAR(int_data[[#This Row],[date]]),"-",MONTH(int_data[[#This Row],[date]]))</f>
        <v>2024-3</v>
      </c>
      <c r="C443">
        <v>87.406233766233797</v>
      </c>
      <c r="D443">
        <v>273.37493506493502</v>
      </c>
    </row>
    <row r="444" spans="1:4" x14ac:dyDescent="0.2">
      <c r="A444" s="1">
        <v>45369</v>
      </c>
      <c r="B444" s="1" t="str">
        <f>_xlfn.CONCAT(YEAR(int_data[[#This Row],[date]]),"-",MONTH(int_data[[#This Row],[date]]))</f>
        <v>2024-3</v>
      </c>
      <c r="C444">
        <v>87.423246753246701</v>
      </c>
      <c r="D444">
        <v>273.39298701298702</v>
      </c>
    </row>
    <row r="445" spans="1:4" x14ac:dyDescent="0.2">
      <c r="A445" s="1">
        <v>45370</v>
      </c>
      <c r="B445" s="1" t="str">
        <f>_xlfn.CONCAT(YEAR(int_data[[#This Row],[date]]),"-",MONTH(int_data[[#This Row],[date]]))</f>
        <v>2024-3</v>
      </c>
      <c r="C445">
        <v>87.440259740259705</v>
      </c>
      <c r="D445">
        <v>273.41103896103903</v>
      </c>
    </row>
    <row r="446" spans="1:4" x14ac:dyDescent="0.2">
      <c r="A446" s="1">
        <v>45371</v>
      </c>
      <c r="B446" s="1" t="str">
        <f>_xlfn.CONCAT(YEAR(int_data[[#This Row],[date]]),"-",MONTH(int_data[[#This Row],[date]]))</f>
        <v>2024-3</v>
      </c>
      <c r="C446">
        <v>87.457272727272695</v>
      </c>
      <c r="D446">
        <v>273.42909090909097</v>
      </c>
    </row>
    <row r="447" spans="1:4" x14ac:dyDescent="0.2">
      <c r="A447" s="1">
        <v>45372</v>
      </c>
      <c r="B447" s="1" t="str">
        <f>_xlfn.CONCAT(YEAR(int_data[[#This Row],[date]]),"-",MONTH(int_data[[#This Row],[date]]))</f>
        <v>2024-3</v>
      </c>
      <c r="C447">
        <v>87.474285714285699</v>
      </c>
      <c r="D447">
        <v>273.44714285714298</v>
      </c>
    </row>
    <row r="448" spans="1:4" x14ac:dyDescent="0.2">
      <c r="A448" s="1">
        <v>45373</v>
      </c>
      <c r="B448" s="1" t="str">
        <f>_xlfn.CONCAT(YEAR(int_data[[#This Row],[date]]),"-",MONTH(int_data[[#This Row],[date]]))</f>
        <v>2024-3</v>
      </c>
      <c r="C448">
        <v>87.491298701298703</v>
      </c>
      <c r="D448">
        <v>273.46519480519498</v>
      </c>
    </row>
    <row r="449" spans="1:4" x14ac:dyDescent="0.2">
      <c r="A449" s="1">
        <v>45374</v>
      </c>
      <c r="B449" s="1" t="str">
        <f>_xlfn.CONCAT(YEAR(int_data[[#This Row],[date]]),"-",MONTH(int_data[[#This Row],[date]]))</f>
        <v>2024-3</v>
      </c>
      <c r="C449">
        <v>87.508311688311693</v>
      </c>
      <c r="D449">
        <v>273.48324675324699</v>
      </c>
    </row>
    <row r="450" spans="1:4" x14ac:dyDescent="0.2">
      <c r="A450" s="1">
        <v>45375</v>
      </c>
      <c r="B450" s="1" t="str">
        <f>_xlfn.CONCAT(YEAR(int_data[[#This Row],[date]]),"-",MONTH(int_data[[#This Row],[date]]))</f>
        <v>2024-3</v>
      </c>
      <c r="C450">
        <v>87.525324675324697</v>
      </c>
      <c r="D450">
        <v>273.50129870129899</v>
      </c>
    </row>
    <row r="451" spans="1:4" x14ac:dyDescent="0.2">
      <c r="A451" s="1">
        <v>45376</v>
      </c>
      <c r="B451" s="1" t="str">
        <f>_xlfn.CONCAT(YEAR(int_data[[#This Row],[date]]),"-",MONTH(int_data[[#This Row],[date]]))</f>
        <v>2024-3</v>
      </c>
      <c r="C451">
        <v>87.542337662337701</v>
      </c>
      <c r="D451">
        <v>273.519350649351</v>
      </c>
    </row>
    <row r="452" spans="1:4" x14ac:dyDescent="0.2">
      <c r="A452" s="1">
        <v>45377</v>
      </c>
      <c r="B452" s="1" t="str">
        <f>_xlfn.CONCAT(YEAR(int_data[[#This Row],[date]]),"-",MONTH(int_data[[#This Row],[date]]))</f>
        <v>2024-3</v>
      </c>
      <c r="C452">
        <v>87.559350649350606</v>
      </c>
      <c r="D452">
        <v>273.537402597403</v>
      </c>
    </row>
    <row r="453" spans="1:4" x14ac:dyDescent="0.2">
      <c r="A453" s="1">
        <v>45378</v>
      </c>
      <c r="B453" s="1" t="str">
        <f>_xlfn.CONCAT(YEAR(int_data[[#This Row],[date]]),"-",MONTH(int_data[[#This Row],[date]]))</f>
        <v>2024-3</v>
      </c>
      <c r="C453">
        <v>87.576363636363595</v>
      </c>
      <c r="D453">
        <v>273.55545454545501</v>
      </c>
    </row>
    <row r="454" spans="1:4" x14ac:dyDescent="0.2">
      <c r="A454" s="1">
        <v>45379</v>
      </c>
      <c r="B454" s="1" t="str">
        <f>_xlfn.CONCAT(YEAR(int_data[[#This Row],[date]]),"-",MONTH(int_data[[#This Row],[date]]))</f>
        <v>2024-3</v>
      </c>
      <c r="C454">
        <v>87.593376623376599</v>
      </c>
      <c r="D454">
        <v>273.57350649350599</v>
      </c>
    </row>
    <row r="455" spans="1:4" x14ac:dyDescent="0.2">
      <c r="A455" s="1">
        <v>45380</v>
      </c>
      <c r="B455" s="1" t="str">
        <f>_xlfn.CONCAT(YEAR(int_data[[#This Row],[date]]),"-",MONTH(int_data[[#This Row],[date]]))</f>
        <v>2024-3</v>
      </c>
      <c r="C455">
        <v>87.610389610389603</v>
      </c>
      <c r="D455">
        <v>273.59155844155799</v>
      </c>
    </row>
    <row r="456" spans="1:4" x14ac:dyDescent="0.2">
      <c r="A456" s="1">
        <v>45381</v>
      </c>
      <c r="B456" s="1" t="str">
        <f>_xlfn.CONCAT(YEAR(int_data[[#This Row],[date]]),"-",MONTH(int_data[[#This Row],[date]]))</f>
        <v>2024-3</v>
      </c>
      <c r="C456">
        <v>87.627402597402593</v>
      </c>
      <c r="D456">
        <v>273.60961038961</v>
      </c>
    </row>
    <row r="457" spans="1:4" x14ac:dyDescent="0.2">
      <c r="A457" s="1">
        <v>45382</v>
      </c>
      <c r="B457" s="1" t="str">
        <f>_xlfn.CONCAT(YEAR(int_data[[#This Row],[date]]),"-",MONTH(int_data[[#This Row],[date]]))</f>
        <v>2024-3</v>
      </c>
      <c r="C457">
        <v>87.644415584415597</v>
      </c>
      <c r="D457">
        <v>273.627662337662</v>
      </c>
    </row>
    <row r="458" spans="1:4" x14ac:dyDescent="0.2">
      <c r="A458" s="1">
        <v>45383</v>
      </c>
      <c r="B458" s="1" t="str">
        <f>_xlfn.CONCAT(YEAR(int_data[[#This Row],[date]]),"-",MONTH(int_data[[#This Row],[date]]))</f>
        <v>2024-4</v>
      </c>
      <c r="C458">
        <v>87.661428571428601</v>
      </c>
      <c r="D458">
        <v>273.64571428571401</v>
      </c>
    </row>
    <row r="459" spans="1:4" x14ac:dyDescent="0.2">
      <c r="A459" s="1">
        <v>45384</v>
      </c>
      <c r="B459" s="1" t="str">
        <f>_xlfn.CONCAT(YEAR(int_data[[#This Row],[date]]),"-",MONTH(int_data[[#This Row],[date]]))</f>
        <v>2024-4</v>
      </c>
      <c r="C459">
        <v>87.678441558441506</v>
      </c>
      <c r="D459">
        <v>273.66376623376601</v>
      </c>
    </row>
    <row r="460" spans="1:4" x14ac:dyDescent="0.2">
      <c r="A460" s="1">
        <v>45385</v>
      </c>
      <c r="B460" s="1" t="str">
        <f>_xlfn.CONCAT(YEAR(int_data[[#This Row],[date]]),"-",MONTH(int_data[[#This Row],[date]]))</f>
        <v>2024-4</v>
      </c>
      <c r="C460">
        <v>87.695454545454496</v>
      </c>
      <c r="D460">
        <v>273.68181818181802</v>
      </c>
    </row>
    <row r="461" spans="1:4" x14ac:dyDescent="0.2">
      <c r="A461" s="1">
        <v>45386</v>
      </c>
      <c r="B461" s="1" t="str">
        <f>_xlfn.CONCAT(YEAR(int_data[[#This Row],[date]]),"-",MONTH(int_data[[#This Row],[date]]))</f>
        <v>2024-4</v>
      </c>
      <c r="C461">
        <v>87.7124675324675</v>
      </c>
      <c r="D461">
        <v>273.69987012987002</v>
      </c>
    </row>
    <row r="462" spans="1:4" x14ac:dyDescent="0.2">
      <c r="A462" s="1">
        <v>45387</v>
      </c>
      <c r="B462" s="1" t="str">
        <f>_xlfn.CONCAT(YEAR(int_data[[#This Row],[date]]),"-",MONTH(int_data[[#This Row],[date]]))</f>
        <v>2024-4</v>
      </c>
      <c r="C462">
        <v>87.729480519480504</v>
      </c>
      <c r="D462">
        <v>273.71792207792203</v>
      </c>
    </row>
    <row r="463" spans="1:4" x14ac:dyDescent="0.2">
      <c r="A463" s="1">
        <v>45388</v>
      </c>
      <c r="B463" s="1" t="str">
        <f>_xlfn.CONCAT(YEAR(int_data[[#This Row],[date]]),"-",MONTH(int_data[[#This Row],[date]]))</f>
        <v>2024-4</v>
      </c>
      <c r="C463">
        <v>87.746493506493493</v>
      </c>
      <c r="D463">
        <v>273.73597402597397</v>
      </c>
    </row>
    <row r="464" spans="1:4" x14ac:dyDescent="0.2">
      <c r="A464" s="1">
        <v>45389</v>
      </c>
      <c r="B464" s="1" t="str">
        <f>_xlfn.CONCAT(YEAR(int_data[[#This Row],[date]]),"-",MONTH(int_data[[#This Row],[date]]))</f>
        <v>2024-4</v>
      </c>
      <c r="C464">
        <v>87.763506493506497</v>
      </c>
      <c r="D464">
        <v>273.75402597402598</v>
      </c>
    </row>
    <row r="465" spans="1:4" x14ac:dyDescent="0.2">
      <c r="A465" s="1">
        <v>45390</v>
      </c>
      <c r="B465" s="1" t="str">
        <f>_xlfn.CONCAT(YEAR(int_data[[#This Row],[date]]),"-",MONTH(int_data[[#This Row],[date]]))</f>
        <v>2024-4</v>
      </c>
      <c r="C465">
        <v>87.780519480519501</v>
      </c>
      <c r="D465">
        <v>273.77207792207798</v>
      </c>
    </row>
    <row r="466" spans="1:4" x14ac:dyDescent="0.2">
      <c r="A466" s="1">
        <v>45391</v>
      </c>
      <c r="B466" s="1" t="str">
        <f>_xlfn.CONCAT(YEAR(int_data[[#This Row],[date]]),"-",MONTH(int_data[[#This Row],[date]]))</f>
        <v>2024-4</v>
      </c>
      <c r="C466">
        <v>87.797532467532506</v>
      </c>
      <c r="D466">
        <v>273.79012987012999</v>
      </c>
    </row>
    <row r="467" spans="1:4" x14ac:dyDescent="0.2">
      <c r="A467" s="1">
        <v>45392</v>
      </c>
      <c r="B467" s="1" t="str">
        <f>_xlfn.CONCAT(YEAR(int_data[[#This Row],[date]]),"-",MONTH(int_data[[#This Row],[date]]))</f>
        <v>2024-4</v>
      </c>
      <c r="C467">
        <v>87.814545454545495</v>
      </c>
      <c r="D467">
        <v>273.80818181818199</v>
      </c>
    </row>
    <row r="468" spans="1:4" x14ac:dyDescent="0.2">
      <c r="A468" s="1">
        <v>45393</v>
      </c>
      <c r="B468" s="1" t="str">
        <f>_xlfn.CONCAT(YEAR(int_data[[#This Row],[date]]),"-",MONTH(int_data[[#This Row],[date]]))</f>
        <v>2024-4</v>
      </c>
      <c r="C468">
        <v>87.8315584415584</v>
      </c>
      <c r="D468">
        <v>273.826233766234</v>
      </c>
    </row>
    <row r="469" spans="1:4" x14ac:dyDescent="0.2">
      <c r="A469" s="1">
        <v>45394</v>
      </c>
      <c r="B469" s="1" t="str">
        <f>_xlfn.CONCAT(YEAR(int_data[[#This Row],[date]]),"-",MONTH(int_data[[#This Row],[date]]))</f>
        <v>2024-4</v>
      </c>
      <c r="C469">
        <v>87.848571428571404</v>
      </c>
      <c r="D469">
        <v>273.844285714286</v>
      </c>
    </row>
    <row r="470" spans="1:4" x14ac:dyDescent="0.2">
      <c r="A470" s="1">
        <v>45395</v>
      </c>
      <c r="B470" s="1" t="str">
        <f>_xlfn.CONCAT(YEAR(int_data[[#This Row],[date]]),"-",MONTH(int_data[[#This Row],[date]]))</f>
        <v>2024-4</v>
      </c>
      <c r="C470">
        <v>87.865584415584394</v>
      </c>
      <c r="D470">
        <v>273.86233766233801</v>
      </c>
    </row>
    <row r="471" spans="1:4" x14ac:dyDescent="0.2">
      <c r="A471" s="1">
        <v>45396</v>
      </c>
      <c r="B471" s="1" t="str">
        <f>_xlfn.CONCAT(YEAR(int_data[[#This Row],[date]]),"-",MONTH(int_data[[#This Row],[date]]))</f>
        <v>2024-4</v>
      </c>
      <c r="C471">
        <v>87.882597402597398</v>
      </c>
      <c r="D471">
        <v>273.88038961039001</v>
      </c>
    </row>
    <row r="472" spans="1:4" x14ac:dyDescent="0.2">
      <c r="A472" s="1">
        <v>45397</v>
      </c>
      <c r="B472" s="1" t="str">
        <f>_xlfn.CONCAT(YEAR(int_data[[#This Row],[date]]),"-",MONTH(int_data[[#This Row],[date]]))</f>
        <v>2024-4</v>
      </c>
      <c r="C472">
        <v>87.899610389610402</v>
      </c>
      <c r="D472">
        <v>273.89844155844202</v>
      </c>
    </row>
    <row r="473" spans="1:4" x14ac:dyDescent="0.2">
      <c r="A473" s="1">
        <v>45398</v>
      </c>
      <c r="B473" s="1" t="str">
        <f>_xlfn.CONCAT(YEAR(int_data[[#This Row],[date]]),"-",MONTH(int_data[[#This Row],[date]]))</f>
        <v>2024-4</v>
      </c>
      <c r="C473">
        <v>87.916623376623406</v>
      </c>
      <c r="D473">
        <v>273.91649350649402</v>
      </c>
    </row>
    <row r="474" spans="1:4" x14ac:dyDescent="0.2">
      <c r="A474" s="1">
        <v>45399</v>
      </c>
      <c r="B474" s="1" t="str">
        <f>_xlfn.CONCAT(YEAR(int_data[[#This Row],[date]]),"-",MONTH(int_data[[#This Row],[date]]))</f>
        <v>2024-4</v>
      </c>
      <c r="C474">
        <v>87.933636363636396</v>
      </c>
      <c r="D474">
        <v>273.934545454545</v>
      </c>
    </row>
    <row r="475" spans="1:4" x14ac:dyDescent="0.2">
      <c r="A475" s="1">
        <v>45400</v>
      </c>
      <c r="B475" s="1" t="str">
        <f>_xlfn.CONCAT(YEAR(int_data[[#This Row],[date]]),"-",MONTH(int_data[[#This Row],[date]]))</f>
        <v>2024-4</v>
      </c>
      <c r="C475">
        <v>87.9506493506493</v>
      </c>
      <c r="D475">
        <v>273.95259740259701</v>
      </c>
    </row>
    <row r="476" spans="1:4" x14ac:dyDescent="0.2">
      <c r="A476" s="1">
        <v>45401</v>
      </c>
      <c r="B476" s="1" t="str">
        <f>_xlfn.CONCAT(YEAR(int_data[[#This Row],[date]]),"-",MONTH(int_data[[#This Row],[date]]))</f>
        <v>2024-4</v>
      </c>
      <c r="C476">
        <v>87.967662337662304</v>
      </c>
      <c r="D476">
        <v>273.97064935064901</v>
      </c>
    </row>
    <row r="477" spans="1:4" x14ac:dyDescent="0.2">
      <c r="A477" s="1">
        <v>45402</v>
      </c>
      <c r="B477" s="1" t="str">
        <f>_xlfn.CONCAT(YEAR(int_data[[#This Row],[date]]),"-",MONTH(int_data[[#This Row],[date]]))</f>
        <v>2024-4</v>
      </c>
      <c r="C477">
        <v>87.984675324675294</v>
      </c>
      <c r="D477">
        <v>273.98870129870102</v>
      </c>
    </row>
    <row r="478" spans="1:4" x14ac:dyDescent="0.2">
      <c r="A478" s="1">
        <v>45403</v>
      </c>
      <c r="B478" s="1" t="str">
        <f>_xlfn.CONCAT(YEAR(int_data[[#This Row],[date]]),"-",MONTH(int_data[[#This Row],[date]]))</f>
        <v>2024-4</v>
      </c>
      <c r="C478">
        <v>88.001688311688298</v>
      </c>
      <c r="D478">
        <v>274.00675324675302</v>
      </c>
    </row>
    <row r="479" spans="1:4" x14ac:dyDescent="0.2">
      <c r="A479" s="1">
        <v>45404</v>
      </c>
      <c r="B479" s="1" t="str">
        <f>_xlfn.CONCAT(YEAR(int_data[[#This Row],[date]]),"-",MONTH(int_data[[#This Row],[date]]))</f>
        <v>2024-4</v>
      </c>
      <c r="C479">
        <v>88.018701298701302</v>
      </c>
      <c r="D479">
        <v>274.02480519480503</v>
      </c>
    </row>
    <row r="480" spans="1:4" x14ac:dyDescent="0.2">
      <c r="A480" s="1">
        <v>45405</v>
      </c>
      <c r="B480" s="1" t="str">
        <f>_xlfn.CONCAT(YEAR(int_data[[#This Row],[date]]),"-",MONTH(int_data[[#This Row],[date]]))</f>
        <v>2024-4</v>
      </c>
      <c r="C480">
        <v>88.035714285714306</v>
      </c>
      <c r="D480">
        <v>274.04285714285697</v>
      </c>
    </row>
    <row r="481" spans="1:4" x14ac:dyDescent="0.2">
      <c r="A481" s="1">
        <v>45406</v>
      </c>
      <c r="B481" s="1" t="str">
        <f>_xlfn.CONCAT(YEAR(int_data[[#This Row],[date]]),"-",MONTH(int_data[[#This Row],[date]]))</f>
        <v>2024-4</v>
      </c>
      <c r="C481">
        <v>88.052727272727296</v>
      </c>
      <c r="D481">
        <v>274.06090909090898</v>
      </c>
    </row>
    <row r="482" spans="1:4" x14ac:dyDescent="0.2">
      <c r="A482" s="1">
        <v>45407</v>
      </c>
      <c r="B482" s="1" t="str">
        <f>_xlfn.CONCAT(YEAR(int_data[[#This Row],[date]]),"-",MONTH(int_data[[#This Row],[date]]))</f>
        <v>2024-4</v>
      </c>
      <c r="C482">
        <v>88.0697402597403</v>
      </c>
      <c r="D482">
        <v>274.07896103896098</v>
      </c>
    </row>
    <row r="483" spans="1:4" x14ac:dyDescent="0.2">
      <c r="A483" s="1">
        <v>45408</v>
      </c>
      <c r="B483" s="1" t="str">
        <f>_xlfn.CONCAT(YEAR(int_data[[#This Row],[date]]),"-",MONTH(int_data[[#This Row],[date]]))</f>
        <v>2024-4</v>
      </c>
      <c r="C483">
        <v>88.086753246753204</v>
      </c>
      <c r="D483">
        <v>274.09701298701299</v>
      </c>
    </row>
    <row r="484" spans="1:4" x14ac:dyDescent="0.2">
      <c r="A484" s="1">
        <v>45409</v>
      </c>
      <c r="B484" s="1" t="str">
        <f>_xlfn.CONCAT(YEAR(int_data[[#This Row],[date]]),"-",MONTH(int_data[[#This Row],[date]]))</f>
        <v>2024-4</v>
      </c>
      <c r="C484">
        <v>88.103766233766194</v>
      </c>
      <c r="D484">
        <v>274.11506493506499</v>
      </c>
    </row>
    <row r="485" spans="1:4" x14ac:dyDescent="0.2">
      <c r="A485" s="1">
        <v>45410</v>
      </c>
      <c r="B485" s="1" t="str">
        <f>_xlfn.CONCAT(YEAR(int_data[[#This Row],[date]]),"-",MONTH(int_data[[#This Row],[date]]))</f>
        <v>2024-4</v>
      </c>
      <c r="C485">
        <v>88.120779220779198</v>
      </c>
      <c r="D485">
        <v>274.133116883117</v>
      </c>
    </row>
    <row r="486" spans="1:4" x14ac:dyDescent="0.2">
      <c r="A486" s="1">
        <v>45411</v>
      </c>
      <c r="B486" s="1" t="str">
        <f>_xlfn.CONCAT(YEAR(int_data[[#This Row],[date]]),"-",MONTH(int_data[[#This Row],[date]]))</f>
        <v>2024-4</v>
      </c>
      <c r="C486">
        <v>88.137792207792202</v>
      </c>
      <c r="D486">
        <v>274.151168831169</v>
      </c>
    </row>
    <row r="487" spans="1:4" x14ac:dyDescent="0.2">
      <c r="A487" s="1">
        <v>45412</v>
      </c>
      <c r="B487" s="1" t="str">
        <f>_xlfn.CONCAT(YEAR(int_data[[#This Row],[date]]),"-",MONTH(int_data[[#This Row],[date]]))</f>
        <v>2024-4</v>
      </c>
      <c r="C487">
        <v>88.154805194805206</v>
      </c>
      <c r="D487">
        <v>274.16922077922101</v>
      </c>
    </row>
    <row r="488" spans="1:4" x14ac:dyDescent="0.2">
      <c r="A488" s="1">
        <v>45413</v>
      </c>
      <c r="B488" s="1" t="str">
        <f>_xlfn.CONCAT(YEAR(int_data[[#This Row],[date]]),"-",MONTH(int_data[[#This Row],[date]]))</f>
        <v>2024-5</v>
      </c>
      <c r="C488">
        <v>88.171818181818196</v>
      </c>
      <c r="D488">
        <v>274.18727272727301</v>
      </c>
    </row>
    <row r="489" spans="1:4" x14ac:dyDescent="0.2">
      <c r="A489" s="1">
        <v>45414</v>
      </c>
      <c r="B489" s="1" t="str">
        <f>_xlfn.CONCAT(YEAR(int_data[[#This Row],[date]]),"-",MONTH(int_data[[#This Row],[date]]))</f>
        <v>2024-5</v>
      </c>
      <c r="C489">
        <v>88.1888311688312</v>
      </c>
      <c r="D489">
        <v>274.20532467532502</v>
      </c>
    </row>
    <row r="490" spans="1:4" x14ac:dyDescent="0.2">
      <c r="A490" s="1">
        <v>45415</v>
      </c>
      <c r="B490" s="1" t="str">
        <f>_xlfn.CONCAT(YEAR(int_data[[#This Row],[date]]),"-",MONTH(int_data[[#This Row],[date]]))</f>
        <v>2024-5</v>
      </c>
      <c r="C490">
        <v>88.205844155844105</v>
      </c>
      <c r="D490">
        <v>274.22337662337702</v>
      </c>
    </row>
    <row r="491" spans="1:4" x14ac:dyDescent="0.2">
      <c r="A491" s="1">
        <v>45416</v>
      </c>
      <c r="B491" s="1" t="str">
        <f>_xlfn.CONCAT(YEAR(int_data[[#This Row],[date]]),"-",MONTH(int_data[[#This Row],[date]]))</f>
        <v>2024-5</v>
      </c>
      <c r="C491">
        <v>88.222857142857094</v>
      </c>
      <c r="D491">
        <v>274.24142857142903</v>
      </c>
    </row>
    <row r="492" spans="1:4" x14ac:dyDescent="0.2">
      <c r="A492" s="1">
        <v>45417</v>
      </c>
      <c r="B492" s="1" t="str">
        <f>_xlfn.CONCAT(YEAR(int_data[[#This Row],[date]]),"-",MONTH(int_data[[#This Row],[date]]))</f>
        <v>2024-5</v>
      </c>
      <c r="C492">
        <v>88.239870129870098</v>
      </c>
      <c r="D492">
        <v>274.25948051948097</v>
      </c>
    </row>
    <row r="493" spans="1:4" x14ac:dyDescent="0.2">
      <c r="A493" s="1">
        <v>45418</v>
      </c>
      <c r="B493" s="1" t="str">
        <f>_xlfn.CONCAT(YEAR(int_data[[#This Row],[date]]),"-",MONTH(int_data[[#This Row],[date]]))</f>
        <v>2024-5</v>
      </c>
      <c r="C493">
        <v>88.256883116883103</v>
      </c>
      <c r="D493">
        <v>274.27753246753201</v>
      </c>
    </row>
    <row r="494" spans="1:4" x14ac:dyDescent="0.2">
      <c r="A494" s="1">
        <v>45419</v>
      </c>
      <c r="B494" s="1" t="str">
        <f>_xlfn.CONCAT(YEAR(int_data[[#This Row],[date]]),"-",MONTH(int_data[[#This Row],[date]]))</f>
        <v>2024-5</v>
      </c>
      <c r="C494">
        <v>88.273896103896107</v>
      </c>
      <c r="D494">
        <v>274.29558441558402</v>
      </c>
    </row>
    <row r="495" spans="1:4" x14ac:dyDescent="0.2">
      <c r="A495" s="1">
        <v>45420</v>
      </c>
      <c r="B495" s="1" t="str">
        <f>_xlfn.CONCAT(YEAR(int_data[[#This Row],[date]]),"-",MONTH(int_data[[#This Row],[date]]))</f>
        <v>2024-5</v>
      </c>
      <c r="C495">
        <v>88.290909090909096</v>
      </c>
      <c r="D495">
        <v>274.31363636363602</v>
      </c>
    </row>
    <row r="496" spans="1:4" x14ac:dyDescent="0.2">
      <c r="A496" s="1">
        <v>45421</v>
      </c>
      <c r="B496" s="1" t="str">
        <f>_xlfn.CONCAT(YEAR(int_data[[#This Row],[date]]),"-",MONTH(int_data[[#This Row],[date]]))</f>
        <v>2024-5</v>
      </c>
      <c r="C496">
        <v>88.3079220779221</v>
      </c>
      <c r="D496">
        <v>274.33168831168803</v>
      </c>
    </row>
    <row r="497" spans="1:4" x14ac:dyDescent="0.2">
      <c r="A497" s="1">
        <v>45422</v>
      </c>
      <c r="B497" s="1" t="str">
        <f>_xlfn.CONCAT(YEAR(int_data[[#This Row],[date]]),"-",MONTH(int_data[[#This Row],[date]]))</f>
        <v>2024-5</v>
      </c>
      <c r="C497">
        <v>88.324935064935104</v>
      </c>
      <c r="D497">
        <v>274.34974025973997</v>
      </c>
    </row>
    <row r="498" spans="1:4" x14ac:dyDescent="0.2">
      <c r="A498" s="1">
        <v>45423</v>
      </c>
      <c r="B498" s="1" t="str">
        <f>_xlfn.CONCAT(YEAR(int_data[[#This Row],[date]]),"-",MONTH(int_data[[#This Row],[date]]))</f>
        <v>2024-5</v>
      </c>
      <c r="C498">
        <v>88.341948051948094</v>
      </c>
      <c r="D498">
        <v>274.36779220779198</v>
      </c>
    </row>
    <row r="499" spans="1:4" x14ac:dyDescent="0.2">
      <c r="A499" s="1">
        <v>45424</v>
      </c>
      <c r="B499" s="1" t="str">
        <f>_xlfn.CONCAT(YEAR(int_data[[#This Row],[date]]),"-",MONTH(int_data[[#This Row],[date]]))</f>
        <v>2024-5</v>
      </c>
      <c r="C499">
        <v>88.358961038960999</v>
      </c>
      <c r="D499">
        <v>274.38584415584398</v>
      </c>
    </row>
    <row r="500" spans="1:4" x14ac:dyDescent="0.2">
      <c r="A500" s="1">
        <v>45425</v>
      </c>
      <c r="B500" s="1" t="str">
        <f>_xlfn.CONCAT(YEAR(int_data[[#This Row],[date]]),"-",MONTH(int_data[[#This Row],[date]]))</f>
        <v>2024-5</v>
      </c>
      <c r="C500">
        <v>88.375974025974003</v>
      </c>
      <c r="D500">
        <v>274.40389610389599</v>
      </c>
    </row>
    <row r="501" spans="1:4" x14ac:dyDescent="0.2">
      <c r="A501" s="1">
        <v>45426</v>
      </c>
      <c r="B501" s="1" t="str">
        <f>_xlfn.CONCAT(YEAR(int_data[[#This Row],[date]]),"-",MONTH(int_data[[#This Row],[date]]))</f>
        <v>2024-5</v>
      </c>
      <c r="C501">
        <v>88.392987012987007</v>
      </c>
      <c r="D501">
        <v>274.42194805194799</v>
      </c>
    </row>
    <row r="502" spans="1:4" x14ac:dyDescent="0.2">
      <c r="A502" s="1">
        <v>45427</v>
      </c>
      <c r="B502" s="1" t="str">
        <f>_xlfn.CONCAT(YEAR(int_data[[#This Row],[date]]),"-",MONTH(int_data[[#This Row],[date]]))</f>
        <v>2024-5</v>
      </c>
      <c r="C502">
        <v>88.41</v>
      </c>
      <c r="D502">
        <v>274.44</v>
      </c>
    </row>
    <row r="503" spans="1:4" x14ac:dyDescent="0.2">
      <c r="A503" s="1">
        <v>45428</v>
      </c>
      <c r="B503" s="1" t="str">
        <f>_xlfn.CONCAT(YEAR(int_data[[#This Row],[date]]),"-",MONTH(int_data[[#This Row],[date]]))</f>
        <v>2024-5</v>
      </c>
      <c r="C503">
        <v>86.74</v>
      </c>
      <c r="D503">
        <v>270.74</v>
      </c>
    </row>
    <row r="504" spans="1:4" x14ac:dyDescent="0.2">
      <c r="A504" s="1">
        <v>45429</v>
      </c>
      <c r="B504" s="1" t="str">
        <f>_xlfn.CONCAT(YEAR(int_data[[#This Row],[date]]),"-",MONTH(int_data[[#This Row],[date]]))</f>
        <v>2024-5</v>
      </c>
      <c r="C504">
        <v>86.56</v>
      </c>
      <c r="D504">
        <v>269.35000000000002</v>
      </c>
    </row>
    <row r="505" spans="1:4" x14ac:dyDescent="0.2">
      <c r="A505" s="1">
        <v>45430</v>
      </c>
      <c r="B505" s="1" t="str">
        <f>_xlfn.CONCAT(YEAR(int_data[[#This Row],[date]]),"-",MONTH(int_data[[#This Row],[date]]))</f>
        <v>2024-5</v>
      </c>
      <c r="C505">
        <v>86.903333333333293</v>
      </c>
      <c r="D505">
        <v>269.04000000000002</v>
      </c>
    </row>
    <row r="506" spans="1:4" x14ac:dyDescent="0.2">
      <c r="A506" s="1">
        <v>45431</v>
      </c>
      <c r="B506" s="1" t="str">
        <f>_xlfn.CONCAT(YEAR(int_data[[#This Row],[date]]),"-",MONTH(int_data[[#This Row],[date]]))</f>
        <v>2024-5</v>
      </c>
      <c r="C506">
        <v>87.246666666666698</v>
      </c>
      <c r="D506">
        <v>268.73</v>
      </c>
    </row>
    <row r="507" spans="1:4" x14ac:dyDescent="0.2">
      <c r="A507" s="1">
        <v>45432</v>
      </c>
      <c r="B507" s="1" t="str">
        <f>_xlfn.CONCAT(YEAR(int_data[[#This Row],[date]]),"-",MONTH(int_data[[#This Row],[date]]))</f>
        <v>2024-5</v>
      </c>
      <c r="C507">
        <v>87.59</v>
      </c>
      <c r="D507">
        <v>268.42</v>
      </c>
    </row>
    <row r="508" spans="1:4" x14ac:dyDescent="0.2">
      <c r="A508" s="1">
        <v>45433</v>
      </c>
      <c r="B508" s="1" t="str">
        <f>_xlfn.CONCAT(YEAR(int_data[[#This Row],[date]]),"-",MONTH(int_data[[#This Row],[date]]))</f>
        <v>2024-5</v>
      </c>
      <c r="C508">
        <v>86.25</v>
      </c>
      <c r="D508">
        <v>266.11</v>
      </c>
    </row>
    <row r="509" spans="1:4" x14ac:dyDescent="0.2">
      <c r="A509" s="1">
        <v>45434</v>
      </c>
      <c r="B509" s="1" t="str">
        <f>_xlfn.CONCAT(YEAR(int_data[[#This Row],[date]]),"-",MONTH(int_data[[#This Row],[date]]))</f>
        <v>2024-5</v>
      </c>
      <c r="C509">
        <v>85.3</v>
      </c>
      <c r="D509">
        <v>265.64999999999998</v>
      </c>
    </row>
    <row r="510" spans="1:4" x14ac:dyDescent="0.2">
      <c r="A510" s="1">
        <v>45435</v>
      </c>
      <c r="B510" s="1" t="str">
        <f>_xlfn.CONCAT(YEAR(int_data[[#This Row],[date]]),"-",MONTH(int_data[[#This Row],[date]]))</f>
        <v>2024-5</v>
      </c>
      <c r="C510">
        <v>86.63</v>
      </c>
      <c r="D510">
        <v>273.05</v>
      </c>
    </row>
    <row r="511" spans="1:4" x14ac:dyDescent="0.2">
      <c r="A511" s="1">
        <v>45436</v>
      </c>
      <c r="B511" s="1" t="str">
        <f>_xlfn.CONCAT(YEAR(int_data[[#This Row],[date]]),"-",MONTH(int_data[[#This Row],[date]]))</f>
        <v>2024-5</v>
      </c>
      <c r="C511">
        <v>86.38</v>
      </c>
      <c r="D511">
        <v>270.27</v>
      </c>
    </row>
    <row r="512" spans="1:4" x14ac:dyDescent="0.2">
      <c r="A512" s="1">
        <v>45437</v>
      </c>
      <c r="B512" s="1" t="str">
        <f>_xlfn.CONCAT(YEAR(int_data[[#This Row],[date]]),"-",MONTH(int_data[[#This Row],[date]]))</f>
        <v>2024-5</v>
      </c>
      <c r="C512">
        <v>86.553333333333299</v>
      </c>
      <c r="D512">
        <v>272.43</v>
      </c>
    </row>
    <row r="513" spans="1:4" x14ac:dyDescent="0.2">
      <c r="A513" s="1">
        <v>45438</v>
      </c>
      <c r="B513" s="1" t="str">
        <f>_xlfn.CONCAT(YEAR(int_data[[#This Row],[date]]),"-",MONTH(int_data[[#This Row],[date]]))</f>
        <v>2024-5</v>
      </c>
      <c r="C513">
        <v>86.726666666666702</v>
      </c>
      <c r="D513">
        <v>274.58999999999997</v>
      </c>
    </row>
    <row r="514" spans="1:4" x14ac:dyDescent="0.2">
      <c r="A514" s="1">
        <v>45439</v>
      </c>
      <c r="B514" s="1" t="str">
        <f>_xlfn.CONCAT(YEAR(int_data[[#This Row],[date]]),"-",MONTH(int_data[[#This Row],[date]]))</f>
        <v>2024-5</v>
      </c>
      <c r="C514">
        <v>86.9</v>
      </c>
      <c r="D514">
        <v>276.75</v>
      </c>
    </row>
    <row r="515" spans="1:4" x14ac:dyDescent="0.2">
      <c r="A515" s="1">
        <v>45440</v>
      </c>
      <c r="B515" s="1" t="str">
        <f>_xlfn.CONCAT(YEAR(int_data[[#This Row],[date]]),"-",MONTH(int_data[[#This Row],[date]]))</f>
        <v>2024-5</v>
      </c>
      <c r="C515">
        <v>86.32</v>
      </c>
      <c r="D515">
        <v>273.51</v>
      </c>
    </row>
    <row r="516" spans="1:4" x14ac:dyDescent="0.2">
      <c r="A516" s="1">
        <v>45441</v>
      </c>
      <c r="B516" s="1" t="str">
        <f>_xlfn.CONCAT(YEAR(int_data[[#This Row],[date]]),"-",MONTH(int_data[[#This Row],[date]]))</f>
        <v>2024-5</v>
      </c>
      <c r="C516">
        <v>84.71</v>
      </c>
      <c r="D516">
        <v>277.68</v>
      </c>
    </row>
    <row r="517" spans="1:4" x14ac:dyDescent="0.2">
      <c r="A517" s="1">
        <v>45442</v>
      </c>
      <c r="B517" s="1" t="str">
        <f>_xlfn.CONCAT(YEAR(int_data[[#This Row],[date]]),"-",MONTH(int_data[[#This Row],[date]]))</f>
        <v>2024-5</v>
      </c>
      <c r="C517">
        <v>85.814999999999998</v>
      </c>
      <c r="D517">
        <v>276.29000000000002</v>
      </c>
    </row>
    <row r="518" spans="1:4" x14ac:dyDescent="0.2">
      <c r="A518" s="1">
        <v>45443</v>
      </c>
      <c r="B518" s="1" t="str">
        <f>_xlfn.CONCAT(YEAR(int_data[[#This Row],[date]]),"-",MONTH(int_data[[#This Row],[date]]))</f>
        <v>2024-5</v>
      </c>
      <c r="C518">
        <v>86.92</v>
      </c>
      <c r="D518">
        <v>274.89999999999998</v>
      </c>
    </row>
    <row r="519" spans="1:4" x14ac:dyDescent="0.2">
      <c r="A519" s="1">
        <v>45444</v>
      </c>
      <c r="B519" s="1" t="str">
        <f>_xlfn.CONCAT(YEAR(int_data[[#This Row],[date]]),"-",MONTH(int_data[[#This Row],[date]]))</f>
        <v>2024-6</v>
      </c>
      <c r="C519">
        <v>87.253333333333302</v>
      </c>
      <c r="D519">
        <v>276.29000000000002</v>
      </c>
    </row>
    <row r="520" spans="1:4" x14ac:dyDescent="0.2">
      <c r="A520" s="1">
        <v>45445</v>
      </c>
      <c r="B520" s="1" t="str">
        <f>_xlfn.CONCAT(YEAR(int_data[[#This Row],[date]]),"-",MONTH(int_data[[#This Row],[date]]))</f>
        <v>2024-6</v>
      </c>
      <c r="C520">
        <v>87.586666666666702</v>
      </c>
      <c r="D520">
        <v>277.68</v>
      </c>
    </row>
    <row r="521" spans="1:4" x14ac:dyDescent="0.2">
      <c r="A521" s="1">
        <v>45446</v>
      </c>
      <c r="B521" s="1" t="str">
        <f>_xlfn.CONCAT(YEAR(int_data[[#This Row],[date]]),"-",MONTH(int_data[[#This Row],[date]]))</f>
        <v>2024-6</v>
      </c>
      <c r="C521">
        <v>87.92</v>
      </c>
      <c r="D521">
        <v>279.07</v>
      </c>
    </row>
    <row r="522" spans="1:4" x14ac:dyDescent="0.2">
      <c r="A522" s="1">
        <v>45447</v>
      </c>
      <c r="B522" s="1" t="str">
        <f>_xlfn.CONCAT(YEAR(int_data[[#This Row],[date]]),"-",MONTH(int_data[[#This Row],[date]]))</f>
        <v>2024-6</v>
      </c>
      <c r="C522">
        <v>83.14</v>
      </c>
      <c r="D522">
        <v>266.57</v>
      </c>
    </row>
    <row r="523" spans="1:4" x14ac:dyDescent="0.2">
      <c r="A523" s="1">
        <v>45448</v>
      </c>
      <c r="B523" s="1" t="str">
        <f>_xlfn.CONCAT(YEAR(int_data[[#This Row],[date]]),"-",MONTH(int_data[[#This Row],[date]]))</f>
        <v>2024-6</v>
      </c>
      <c r="C523">
        <v>84.67</v>
      </c>
      <c r="D523">
        <v>273.51</v>
      </c>
    </row>
    <row r="524" spans="1:4" x14ac:dyDescent="0.2">
      <c r="A524" s="1">
        <v>45449</v>
      </c>
      <c r="B524" s="1" t="str">
        <f>_xlfn.CONCAT(YEAR(int_data[[#This Row],[date]]),"-",MONTH(int_data[[#This Row],[date]]))</f>
        <v>2024-6</v>
      </c>
      <c r="C524">
        <v>85.07</v>
      </c>
      <c r="D524">
        <v>265.18</v>
      </c>
    </row>
    <row r="525" spans="1:4" x14ac:dyDescent="0.2">
      <c r="A525" s="1">
        <v>45450</v>
      </c>
      <c r="B525" s="1" t="str">
        <f>_xlfn.CONCAT(YEAR(int_data[[#This Row],[date]]),"-",MONTH(int_data[[#This Row],[date]]))</f>
        <v>2024-6</v>
      </c>
      <c r="C525">
        <v>83.58</v>
      </c>
      <c r="D525">
        <v>265.18</v>
      </c>
    </row>
    <row r="526" spans="1:4" x14ac:dyDescent="0.2">
      <c r="A526" s="1">
        <v>45451</v>
      </c>
      <c r="B526" s="1" t="str">
        <f>_xlfn.CONCAT(YEAR(int_data[[#This Row],[date]]),"-",MONTH(int_data[[#This Row],[date]]))</f>
        <v>2024-6</v>
      </c>
      <c r="C526">
        <v>83.536666666666704</v>
      </c>
      <c r="D526">
        <v>265.79666666666702</v>
      </c>
    </row>
    <row r="527" spans="1:4" x14ac:dyDescent="0.2">
      <c r="A527" s="1">
        <v>45452</v>
      </c>
      <c r="B527" s="1" t="str">
        <f>_xlfn.CONCAT(YEAR(int_data[[#This Row],[date]]),"-",MONTH(int_data[[#This Row],[date]]))</f>
        <v>2024-6</v>
      </c>
      <c r="C527">
        <v>83.493333333333297</v>
      </c>
      <c r="D527">
        <v>266.41333333333301</v>
      </c>
    </row>
    <row r="528" spans="1:4" x14ac:dyDescent="0.2">
      <c r="A528" s="1">
        <v>45453</v>
      </c>
      <c r="B528" s="1" t="str">
        <f>_xlfn.CONCAT(YEAR(int_data[[#This Row],[date]]),"-",MONTH(int_data[[#This Row],[date]]))</f>
        <v>2024-6</v>
      </c>
      <c r="C528">
        <v>83.45</v>
      </c>
      <c r="D528">
        <v>267.02999999999997</v>
      </c>
    </row>
    <row r="529" spans="1:4" x14ac:dyDescent="0.2">
      <c r="A529" s="1">
        <v>45454</v>
      </c>
      <c r="B529" s="1" t="str">
        <f>_xlfn.CONCAT(YEAR(int_data[[#This Row],[date]]),"-",MONTH(int_data[[#This Row],[date]]))</f>
        <v>2024-6</v>
      </c>
      <c r="C529">
        <v>82.07</v>
      </c>
      <c r="D529">
        <v>259.17</v>
      </c>
    </row>
    <row r="530" spans="1:4" x14ac:dyDescent="0.2">
      <c r="A530" s="1">
        <v>45455</v>
      </c>
      <c r="B530" s="1" t="str">
        <f>_xlfn.CONCAT(YEAR(int_data[[#This Row],[date]]),"-",MONTH(int_data[[#This Row],[date]]))</f>
        <v>2024-6</v>
      </c>
      <c r="C530">
        <v>85.87</v>
      </c>
      <c r="D530">
        <v>263.33</v>
      </c>
    </row>
    <row r="531" spans="1:4" x14ac:dyDescent="0.2">
      <c r="A531" s="1">
        <v>45456</v>
      </c>
      <c r="B531" s="1" t="str">
        <f>_xlfn.CONCAT(YEAR(int_data[[#This Row],[date]]),"-",MONTH(int_data[[#This Row],[date]]))</f>
        <v>2024-6</v>
      </c>
      <c r="C531">
        <v>82.69</v>
      </c>
      <c r="D531">
        <v>256.85000000000002</v>
      </c>
    </row>
    <row r="532" spans="1:4" x14ac:dyDescent="0.2">
      <c r="A532" s="1">
        <v>45457</v>
      </c>
      <c r="B532" s="1" t="str">
        <f>_xlfn.CONCAT(YEAR(int_data[[#This Row],[date]]),"-",MONTH(int_data[[#This Row],[date]]))</f>
        <v>2024-6</v>
      </c>
      <c r="C532">
        <v>82.87</v>
      </c>
      <c r="D532">
        <v>256.85000000000002</v>
      </c>
    </row>
    <row r="533" spans="1:4" x14ac:dyDescent="0.2">
      <c r="A533" s="1">
        <v>45458</v>
      </c>
      <c r="B533" s="1" t="str">
        <f>_xlfn.CONCAT(YEAR(int_data[[#This Row],[date]]),"-",MONTH(int_data[[#This Row],[date]]))</f>
        <v>2024-6</v>
      </c>
      <c r="C533">
        <v>83.263333333333307</v>
      </c>
      <c r="D533">
        <v>258.85666666666702</v>
      </c>
    </row>
    <row r="534" spans="1:4" x14ac:dyDescent="0.2">
      <c r="A534" s="1">
        <v>45459</v>
      </c>
      <c r="B534" s="1" t="str">
        <f>_xlfn.CONCAT(YEAR(int_data[[#This Row],[date]]),"-",MONTH(int_data[[#This Row],[date]]))</f>
        <v>2024-6</v>
      </c>
      <c r="C534">
        <v>83.656666666666695</v>
      </c>
      <c r="D534">
        <v>260.863333333333</v>
      </c>
    </row>
    <row r="535" spans="1:4" x14ac:dyDescent="0.2">
      <c r="A535" s="1">
        <v>45460</v>
      </c>
      <c r="B535" s="1" t="str">
        <f>_xlfn.CONCAT(YEAR(int_data[[#This Row],[date]]),"-",MONTH(int_data[[#This Row],[date]]))</f>
        <v>2024-6</v>
      </c>
      <c r="C535">
        <v>84.05</v>
      </c>
      <c r="D535">
        <v>262.87</v>
      </c>
    </row>
    <row r="536" spans="1:4" x14ac:dyDescent="0.2">
      <c r="A536" s="1">
        <v>45461</v>
      </c>
      <c r="B536" s="1" t="str">
        <f>_xlfn.CONCAT(YEAR(int_data[[#This Row],[date]]),"-",MONTH(int_data[[#This Row],[date]]))</f>
        <v>2024-6</v>
      </c>
      <c r="C536">
        <v>84.51</v>
      </c>
      <c r="D536">
        <v>262.87</v>
      </c>
    </row>
    <row r="537" spans="1:4" x14ac:dyDescent="0.2">
      <c r="A537" s="1">
        <v>45462</v>
      </c>
      <c r="B537" s="1" t="str">
        <f>_xlfn.CONCAT(YEAR(int_data[[#This Row],[date]]),"-",MONTH(int_data[[#This Row],[date]]))</f>
        <v>2024-6</v>
      </c>
      <c r="C537">
        <v>87.65</v>
      </c>
      <c r="D537">
        <v>267.5</v>
      </c>
    </row>
    <row r="538" spans="1:4" x14ac:dyDescent="0.2">
      <c r="A538" s="1">
        <v>45463</v>
      </c>
      <c r="B538" s="1" t="str">
        <f>_xlfn.CONCAT(YEAR(int_data[[#This Row],[date]]),"-",MONTH(int_data[[#This Row],[date]]))</f>
        <v>2024-6</v>
      </c>
      <c r="C538">
        <v>86.63</v>
      </c>
      <c r="D538">
        <v>268.89</v>
      </c>
    </row>
    <row r="539" spans="1:4" x14ac:dyDescent="0.2">
      <c r="A539" s="1">
        <v>45464</v>
      </c>
      <c r="B539" s="1" t="str">
        <f>_xlfn.CONCAT(YEAR(int_data[[#This Row],[date]]),"-",MONTH(int_data[[#This Row],[date]]))</f>
        <v>2024-6</v>
      </c>
      <c r="C539">
        <v>87.56</v>
      </c>
      <c r="D539">
        <v>273.05</v>
      </c>
    </row>
    <row r="540" spans="1:4" x14ac:dyDescent="0.2">
      <c r="A540" s="1">
        <v>45465</v>
      </c>
      <c r="B540" s="1" t="str">
        <f>_xlfn.CONCAT(YEAR(int_data[[#This Row],[date]]),"-",MONTH(int_data[[#This Row],[date]]))</f>
        <v>2024-6</v>
      </c>
      <c r="C540">
        <v>87.96</v>
      </c>
      <c r="D540">
        <v>273.05</v>
      </c>
    </row>
    <row r="541" spans="1:4" x14ac:dyDescent="0.2">
      <c r="A541" s="1">
        <v>45466</v>
      </c>
      <c r="B541" s="1" t="str">
        <f>_xlfn.CONCAT(YEAR(int_data[[#This Row],[date]]),"-",MONTH(int_data[[#This Row],[date]]))</f>
        <v>2024-6</v>
      </c>
      <c r="C541">
        <v>88.36</v>
      </c>
      <c r="D541">
        <v>273.05</v>
      </c>
    </row>
    <row r="542" spans="1:4" x14ac:dyDescent="0.2">
      <c r="A542" s="1">
        <v>45467</v>
      </c>
      <c r="B542" s="1" t="str">
        <f>_xlfn.CONCAT(YEAR(int_data[[#This Row],[date]]),"-",MONTH(int_data[[#This Row],[date]]))</f>
        <v>2024-6</v>
      </c>
      <c r="C542">
        <v>88.76</v>
      </c>
      <c r="D542">
        <v>273.05</v>
      </c>
    </row>
    <row r="543" spans="1:4" x14ac:dyDescent="0.2">
      <c r="A543" s="1">
        <v>45468</v>
      </c>
      <c r="B543" s="1" t="str">
        <f>_xlfn.CONCAT(YEAR(int_data[[#This Row],[date]]),"-",MONTH(int_data[[#This Row],[date]]))</f>
        <v>2024-6</v>
      </c>
      <c r="C543">
        <v>90.77</v>
      </c>
      <c r="D543">
        <v>277.68</v>
      </c>
    </row>
    <row r="544" spans="1:4" x14ac:dyDescent="0.2">
      <c r="A544" s="1">
        <v>45469</v>
      </c>
      <c r="B544" s="1" t="str">
        <f>_xlfn.CONCAT(YEAR(int_data[[#This Row],[date]]),"-",MONTH(int_data[[#This Row],[date]]))</f>
        <v>2024-6</v>
      </c>
      <c r="C544">
        <v>91.77</v>
      </c>
      <c r="D544">
        <v>278.60000000000002</v>
      </c>
    </row>
    <row r="545" spans="1:4" x14ac:dyDescent="0.2">
      <c r="A545" s="1">
        <v>45470</v>
      </c>
      <c r="B545" s="1" t="str">
        <f>_xlfn.CONCAT(YEAR(int_data[[#This Row],[date]]),"-",MONTH(int_data[[#This Row],[date]]))</f>
        <v>2024-6</v>
      </c>
      <c r="C545">
        <v>93.68</v>
      </c>
      <c r="D545">
        <v>276.29000000000002</v>
      </c>
    </row>
    <row r="546" spans="1:4" x14ac:dyDescent="0.2">
      <c r="A546" s="1">
        <v>45471</v>
      </c>
      <c r="B546" s="1" t="str">
        <f>_xlfn.CONCAT(YEAR(int_data[[#This Row],[date]]),"-",MONTH(int_data[[#This Row],[date]]))</f>
        <v>2024-6</v>
      </c>
      <c r="C546">
        <v>93</v>
      </c>
      <c r="D546">
        <v>281.38</v>
      </c>
    </row>
    <row r="547" spans="1:4" x14ac:dyDescent="0.2">
      <c r="A547" s="1">
        <v>45472</v>
      </c>
      <c r="B547" s="1" t="str">
        <f>_xlfn.CONCAT(YEAR(int_data[[#This Row],[date]]),"-",MONTH(int_data[[#This Row],[date]]))</f>
        <v>2024-6</v>
      </c>
      <c r="C547">
        <v>93.393333333333302</v>
      </c>
      <c r="D547">
        <v>282.30666666666701</v>
      </c>
    </row>
    <row r="548" spans="1:4" x14ac:dyDescent="0.2">
      <c r="A548" s="1">
        <v>45473</v>
      </c>
      <c r="B548" s="1" t="str">
        <f>_xlfn.CONCAT(YEAR(int_data[[#This Row],[date]]),"-",MONTH(int_data[[#This Row],[date]]))</f>
        <v>2024-6</v>
      </c>
      <c r="C548">
        <v>93.786666666666704</v>
      </c>
      <c r="D548">
        <v>283.23333333333301</v>
      </c>
    </row>
    <row r="549" spans="1:4" x14ac:dyDescent="0.2">
      <c r="A549" s="1">
        <v>45474</v>
      </c>
      <c r="B549" s="1" t="str">
        <f>_xlfn.CONCAT(YEAR(int_data[[#This Row],[date]]),"-",MONTH(int_data[[#This Row],[date]]))</f>
        <v>2024-7</v>
      </c>
      <c r="C549">
        <v>94.18</v>
      </c>
      <c r="D549">
        <v>284.16000000000003</v>
      </c>
    </row>
    <row r="550" spans="1:4" x14ac:dyDescent="0.2">
      <c r="A550" s="1">
        <v>45475</v>
      </c>
      <c r="B550" s="1" t="str">
        <f>_xlfn.CONCAT(YEAR(int_data[[#This Row],[date]]),"-",MONTH(int_data[[#This Row],[date]]))</f>
        <v>2024-7</v>
      </c>
      <c r="C550">
        <v>91.73</v>
      </c>
      <c r="D550">
        <v>276.75</v>
      </c>
    </row>
    <row r="551" spans="1:4" x14ac:dyDescent="0.2">
      <c r="A551" s="1">
        <v>45476</v>
      </c>
      <c r="B551" s="1" t="str">
        <f>_xlfn.CONCAT(YEAR(int_data[[#This Row],[date]]),"-",MONTH(int_data[[#This Row],[date]]))</f>
        <v>2024-7</v>
      </c>
      <c r="C551">
        <v>92.05</v>
      </c>
      <c r="D551">
        <v>273.98</v>
      </c>
    </row>
    <row r="552" spans="1:4" x14ac:dyDescent="0.2">
      <c r="A552" s="1">
        <v>45477</v>
      </c>
      <c r="B552" s="1" t="str">
        <f>_xlfn.CONCAT(YEAR(int_data[[#This Row],[date]]),"-",MONTH(int_data[[#This Row],[date]]))</f>
        <v>2024-7</v>
      </c>
      <c r="C552">
        <v>91.91</v>
      </c>
      <c r="D552">
        <v>277.68</v>
      </c>
    </row>
    <row r="553" spans="1:4" x14ac:dyDescent="0.2">
      <c r="A553" s="1">
        <v>45478</v>
      </c>
      <c r="B553" s="1" t="str">
        <f>_xlfn.CONCAT(YEAR(int_data[[#This Row],[date]]),"-",MONTH(int_data[[#This Row],[date]]))</f>
        <v>2024-7</v>
      </c>
      <c r="C553">
        <v>90.34</v>
      </c>
      <c r="D553">
        <v>274.89999999999998</v>
      </c>
    </row>
    <row r="554" spans="1:4" x14ac:dyDescent="0.2">
      <c r="A554" s="1">
        <v>45479</v>
      </c>
      <c r="B554" s="1" t="str">
        <f>_xlfn.CONCAT(YEAR(int_data[[#This Row],[date]]),"-",MONTH(int_data[[#This Row],[date]]))</f>
        <v>2024-7</v>
      </c>
      <c r="C554">
        <v>90.713333333333296</v>
      </c>
      <c r="D554">
        <v>275.51666666666699</v>
      </c>
    </row>
    <row r="555" spans="1:4" x14ac:dyDescent="0.2">
      <c r="A555" s="1">
        <v>45480</v>
      </c>
      <c r="B555" s="1" t="str">
        <f>_xlfn.CONCAT(YEAR(int_data[[#This Row],[date]]),"-",MONTH(int_data[[#This Row],[date]]))</f>
        <v>2024-7</v>
      </c>
      <c r="C555">
        <v>91.086666666666702</v>
      </c>
      <c r="D555">
        <v>276.13333333333298</v>
      </c>
    </row>
    <row r="556" spans="1:4" x14ac:dyDescent="0.2">
      <c r="A556" s="1">
        <v>45481</v>
      </c>
      <c r="B556" s="1" t="str">
        <f>_xlfn.CONCAT(YEAR(int_data[[#This Row],[date]]),"-",MONTH(int_data[[#This Row],[date]]))</f>
        <v>2024-7</v>
      </c>
      <c r="C556">
        <v>91.46</v>
      </c>
      <c r="D556">
        <v>276.75</v>
      </c>
    </row>
    <row r="557" spans="1:4" x14ac:dyDescent="0.2">
      <c r="A557" s="1">
        <v>45482</v>
      </c>
      <c r="B557" s="1" t="str">
        <f>_xlfn.CONCAT(YEAR(int_data[[#This Row],[date]]),"-",MONTH(int_data[[#This Row],[date]]))</f>
        <v>2024-7</v>
      </c>
      <c r="C557">
        <v>91.96</v>
      </c>
      <c r="D557">
        <v>280.45999999999998</v>
      </c>
    </row>
    <row r="558" spans="1:4" x14ac:dyDescent="0.2">
      <c r="A558" s="1">
        <v>45483</v>
      </c>
      <c r="B558" s="1" t="str">
        <f>_xlfn.CONCAT(YEAR(int_data[[#This Row],[date]]),"-",MONTH(int_data[[#This Row],[date]]))</f>
        <v>2024-7</v>
      </c>
      <c r="C558">
        <v>91.32</v>
      </c>
      <c r="D558">
        <v>277.68</v>
      </c>
    </row>
    <row r="559" spans="1:4" x14ac:dyDescent="0.2">
      <c r="A559" s="1">
        <v>45484</v>
      </c>
      <c r="B559" s="1" t="str">
        <f>_xlfn.CONCAT(YEAR(int_data[[#This Row],[date]]),"-",MONTH(int_data[[#This Row],[date]]))</f>
        <v>2024-7</v>
      </c>
      <c r="C559">
        <v>92.68</v>
      </c>
      <c r="D559">
        <v>277.68</v>
      </c>
    </row>
    <row r="560" spans="1:4" x14ac:dyDescent="0.2">
      <c r="A560" s="1">
        <v>45485</v>
      </c>
      <c r="B560" s="1" t="str">
        <f>_xlfn.CONCAT(YEAR(int_data[[#This Row],[date]]),"-",MONTH(int_data[[#This Row],[date]]))</f>
        <v>2024-7</v>
      </c>
      <c r="C560">
        <v>91.91</v>
      </c>
      <c r="D560">
        <v>279.99</v>
      </c>
    </row>
    <row r="561" spans="1:4" x14ac:dyDescent="0.2">
      <c r="A561" s="1">
        <v>45486</v>
      </c>
      <c r="B561" s="1" t="str">
        <f>_xlfn.CONCAT(YEAR(int_data[[#This Row],[date]]),"-",MONTH(int_data[[#This Row],[date]]))</f>
        <v>2024-7</v>
      </c>
      <c r="C561">
        <v>91.91</v>
      </c>
      <c r="D561">
        <v>279.066666666667</v>
      </c>
    </row>
    <row r="562" spans="1:4" x14ac:dyDescent="0.2">
      <c r="A562" s="1">
        <v>45487</v>
      </c>
      <c r="B562" s="1" t="str">
        <f>_xlfn.CONCAT(YEAR(int_data[[#This Row],[date]]),"-",MONTH(int_data[[#This Row],[date]]))</f>
        <v>2024-7</v>
      </c>
      <c r="C562">
        <v>91.91</v>
      </c>
      <c r="D562">
        <v>278.14333333333298</v>
      </c>
    </row>
    <row r="563" spans="1:4" x14ac:dyDescent="0.2">
      <c r="A563" s="1">
        <v>45488</v>
      </c>
      <c r="B563" s="1" t="str">
        <f>_xlfn.CONCAT(YEAR(int_data[[#This Row],[date]]),"-",MONTH(int_data[[#This Row],[date]]))</f>
        <v>2024-7</v>
      </c>
      <c r="C563">
        <v>91.91</v>
      </c>
      <c r="D563">
        <v>277.22000000000003</v>
      </c>
    </row>
    <row r="564" spans="1:4" x14ac:dyDescent="0.2">
      <c r="A564" s="1">
        <v>45489</v>
      </c>
      <c r="B564" s="1" t="str">
        <f>_xlfn.CONCAT(YEAR(int_data[[#This Row],[date]]),"-",MONTH(int_data[[#This Row],[date]]))</f>
        <v>2024-7</v>
      </c>
      <c r="C564">
        <v>87.59</v>
      </c>
      <c r="D564">
        <v>273.05</v>
      </c>
    </row>
    <row r="565" spans="1:4" x14ac:dyDescent="0.2">
      <c r="A565" s="1">
        <v>45490</v>
      </c>
      <c r="B565" s="1" t="str">
        <f>_xlfn.CONCAT(YEAR(int_data[[#This Row],[date]]),"-",MONTH(int_data[[#This Row],[date]]))</f>
        <v>2024-7</v>
      </c>
      <c r="C565">
        <v>85.5</v>
      </c>
      <c r="D565">
        <v>270.27</v>
      </c>
    </row>
    <row r="566" spans="1:4" x14ac:dyDescent="0.2">
      <c r="A566" s="1">
        <v>45491</v>
      </c>
      <c r="B566" s="1" t="str">
        <f>_xlfn.CONCAT(YEAR(int_data[[#This Row],[date]]),"-",MONTH(int_data[[#This Row],[date]]))</f>
        <v>2024-7</v>
      </c>
      <c r="C566">
        <v>88.3</v>
      </c>
      <c r="D566">
        <v>271.66000000000003</v>
      </c>
    </row>
    <row r="567" spans="1:4" x14ac:dyDescent="0.2">
      <c r="A567" s="1">
        <v>45492</v>
      </c>
      <c r="B567" s="1" t="str">
        <f>_xlfn.CONCAT(YEAR(int_data[[#This Row],[date]]),"-",MONTH(int_data[[#This Row],[date]]))</f>
        <v>2024-7</v>
      </c>
      <c r="C567">
        <v>88.18</v>
      </c>
      <c r="D567">
        <v>270.74</v>
      </c>
    </row>
    <row r="568" spans="1:4" x14ac:dyDescent="0.2">
      <c r="A568" s="1">
        <v>45493</v>
      </c>
      <c r="B568" s="1" t="str">
        <f>_xlfn.CONCAT(YEAR(int_data[[#This Row],[date]]),"-",MONTH(int_data[[#This Row],[date]]))</f>
        <v>2024-7</v>
      </c>
      <c r="C568">
        <v>88.736666666666693</v>
      </c>
      <c r="D568">
        <v>270.12333333333299</v>
      </c>
    </row>
    <row r="569" spans="1:4" x14ac:dyDescent="0.2">
      <c r="A569" s="1">
        <v>45494</v>
      </c>
      <c r="B569" s="1" t="str">
        <f>_xlfn.CONCAT(YEAR(int_data[[#This Row],[date]]),"-",MONTH(int_data[[#This Row],[date]]))</f>
        <v>2024-7</v>
      </c>
      <c r="C569">
        <v>89.293333333333294</v>
      </c>
      <c r="D569">
        <v>269.506666666667</v>
      </c>
    </row>
    <row r="570" spans="1:4" x14ac:dyDescent="0.2">
      <c r="A570" s="1">
        <v>45495</v>
      </c>
      <c r="B570" s="1" t="str">
        <f>_xlfn.CONCAT(YEAR(int_data[[#This Row],[date]]),"-",MONTH(int_data[[#This Row],[date]]))</f>
        <v>2024-7</v>
      </c>
      <c r="C570">
        <v>89.85</v>
      </c>
      <c r="D570">
        <v>268.89</v>
      </c>
    </row>
    <row r="571" spans="1:4" x14ac:dyDescent="0.2">
      <c r="A571" s="1">
        <v>45496</v>
      </c>
      <c r="B571" s="1" t="str">
        <f>_xlfn.CONCAT(YEAR(int_data[[#This Row],[date]]),"-",MONTH(int_data[[#This Row],[date]]))</f>
        <v>2024-7</v>
      </c>
      <c r="C571">
        <v>87.81</v>
      </c>
      <c r="D571">
        <v>271.2</v>
      </c>
    </row>
    <row r="572" spans="1:4" x14ac:dyDescent="0.2">
      <c r="A572" s="1">
        <v>45497</v>
      </c>
      <c r="B572" s="1" t="str">
        <f>_xlfn.CONCAT(YEAR(int_data[[#This Row],[date]]),"-",MONTH(int_data[[#This Row],[date]]))</f>
        <v>2024-7</v>
      </c>
      <c r="C572">
        <v>88.96</v>
      </c>
      <c r="D572">
        <v>269.35000000000002</v>
      </c>
    </row>
    <row r="573" spans="1:4" x14ac:dyDescent="0.2">
      <c r="A573" s="1">
        <v>45498</v>
      </c>
      <c r="B573" s="1" t="str">
        <f>_xlfn.CONCAT(YEAR(int_data[[#This Row],[date]]),"-",MONTH(int_data[[#This Row],[date]]))</f>
        <v>2024-7</v>
      </c>
      <c r="C573">
        <v>89.58</v>
      </c>
      <c r="D573">
        <v>271.66000000000003</v>
      </c>
    </row>
    <row r="574" spans="1:4" x14ac:dyDescent="0.2">
      <c r="A574" s="1">
        <v>45499</v>
      </c>
      <c r="B574" s="1" t="str">
        <f>_xlfn.CONCAT(YEAR(int_data[[#This Row],[date]]),"-",MONTH(int_data[[#This Row],[date]]))</f>
        <v>2024-7</v>
      </c>
      <c r="C574">
        <v>87.36</v>
      </c>
      <c r="D574">
        <v>267.95999999999998</v>
      </c>
    </row>
    <row r="575" spans="1:4" x14ac:dyDescent="0.2">
      <c r="A575" s="1">
        <v>45500</v>
      </c>
      <c r="B575" s="1" t="str">
        <f>_xlfn.CONCAT(YEAR(int_data[[#This Row],[date]]),"-",MONTH(int_data[[#This Row],[date]]))</f>
        <v>2024-7</v>
      </c>
      <c r="C575">
        <v>87.976666666666702</v>
      </c>
      <c r="D575">
        <v>268.57666666666699</v>
      </c>
    </row>
    <row r="576" spans="1:4" x14ac:dyDescent="0.2">
      <c r="A576" s="1">
        <v>45501</v>
      </c>
      <c r="B576" s="1" t="str">
        <f>_xlfn.CONCAT(YEAR(int_data[[#This Row],[date]]),"-",MONTH(int_data[[#This Row],[date]]))</f>
        <v>2024-7</v>
      </c>
      <c r="C576">
        <v>88.593333333333305</v>
      </c>
      <c r="D576">
        <v>269.19333333333299</v>
      </c>
    </row>
    <row r="577" spans="1:4" x14ac:dyDescent="0.2">
      <c r="A577" s="1">
        <v>45502</v>
      </c>
      <c r="B577" s="1" t="str">
        <f>_xlfn.CONCAT(YEAR(int_data[[#This Row],[date]]),"-",MONTH(int_data[[#This Row],[date]]))</f>
        <v>2024-7</v>
      </c>
      <c r="C577">
        <v>89.21</v>
      </c>
      <c r="D577">
        <v>269.81</v>
      </c>
    </row>
    <row r="578" spans="1:4" x14ac:dyDescent="0.2">
      <c r="A578" s="1">
        <v>45503</v>
      </c>
      <c r="B578" s="1" t="str">
        <f>_xlfn.CONCAT(YEAR(int_data[[#This Row],[date]]),"-",MONTH(int_data[[#This Row],[date]]))</f>
        <v>2024-7</v>
      </c>
      <c r="C578">
        <v>86.36</v>
      </c>
      <c r="D578">
        <v>274.89999999999998</v>
      </c>
    </row>
    <row r="579" spans="1:4" x14ac:dyDescent="0.2">
      <c r="A579" s="1">
        <v>45504</v>
      </c>
      <c r="B579" s="1" t="str">
        <f>_xlfn.CONCAT(YEAR(int_data[[#This Row],[date]]),"-",MONTH(int_data[[#This Row],[date]]))</f>
        <v>2024-7</v>
      </c>
      <c r="C579">
        <v>86.2</v>
      </c>
      <c r="D579">
        <v>279.52999999999997</v>
      </c>
    </row>
    <row r="580" spans="1:4" x14ac:dyDescent="0.2">
      <c r="A580" s="1">
        <v>45505</v>
      </c>
      <c r="B580" s="1" t="str">
        <f>_xlfn.CONCAT(YEAR(int_data[[#This Row],[date]]),"-",MONTH(int_data[[#This Row],[date]]))</f>
        <v>2024-8</v>
      </c>
      <c r="C580">
        <v>84.45</v>
      </c>
      <c r="D580">
        <v>265.18</v>
      </c>
    </row>
    <row r="581" spans="1:4" x14ac:dyDescent="0.2">
      <c r="A581" s="1">
        <v>45506</v>
      </c>
      <c r="B581" s="1" t="str">
        <f>_xlfn.CONCAT(YEAR(int_data[[#This Row],[date]]),"-",MONTH(int_data[[#This Row],[date]]))</f>
        <v>2024-8</v>
      </c>
      <c r="C581">
        <v>81.11</v>
      </c>
      <c r="D581">
        <v>256.39</v>
      </c>
    </row>
    <row r="582" spans="1:4" x14ac:dyDescent="0.2">
      <c r="A582" s="1">
        <v>45507</v>
      </c>
      <c r="B582" s="1" t="str">
        <f>_xlfn.CONCAT(YEAR(int_data[[#This Row],[date]]),"-",MONTH(int_data[[#This Row],[date]]))</f>
        <v>2024-8</v>
      </c>
      <c r="C582">
        <v>80.91</v>
      </c>
      <c r="D582">
        <v>252.68666666666701</v>
      </c>
    </row>
    <row r="583" spans="1:4" x14ac:dyDescent="0.2">
      <c r="A583" s="1">
        <v>45508</v>
      </c>
      <c r="B583" s="1" t="str">
        <f>_xlfn.CONCAT(YEAR(int_data[[#This Row],[date]]),"-",MONTH(int_data[[#This Row],[date]]))</f>
        <v>2024-8</v>
      </c>
      <c r="C583">
        <v>80.709999999999994</v>
      </c>
      <c r="D583">
        <v>248.98333333333301</v>
      </c>
    </row>
    <row r="584" spans="1:4" x14ac:dyDescent="0.2">
      <c r="A584" s="1">
        <v>45509</v>
      </c>
      <c r="B584" s="1" t="str">
        <f>_xlfn.CONCAT(YEAR(int_data[[#This Row],[date]]),"-",MONTH(int_data[[#This Row],[date]]))</f>
        <v>2024-8</v>
      </c>
      <c r="C584">
        <v>80.510000000000005</v>
      </c>
      <c r="D584">
        <v>245.28</v>
      </c>
    </row>
    <row r="585" spans="1:4" x14ac:dyDescent="0.2">
      <c r="A585" s="1">
        <v>45510</v>
      </c>
      <c r="B585" s="1" t="str">
        <f>_xlfn.CONCAT(YEAR(int_data[[#This Row],[date]]),"-",MONTH(int_data[[#This Row],[date]]))</f>
        <v>2024-8</v>
      </c>
      <c r="C585">
        <v>79.760000000000005</v>
      </c>
      <c r="D585">
        <v>242.97</v>
      </c>
    </row>
    <row r="586" spans="1:4" x14ac:dyDescent="0.2">
      <c r="A586" s="1">
        <v>45511</v>
      </c>
      <c r="B586" s="1" t="str">
        <f>_xlfn.CONCAT(YEAR(int_data[[#This Row],[date]]),"-",MONTH(int_data[[#This Row],[date]]))</f>
        <v>2024-8</v>
      </c>
      <c r="C586">
        <v>80.14</v>
      </c>
      <c r="D586">
        <v>238.34</v>
      </c>
    </row>
    <row r="587" spans="1:4" x14ac:dyDescent="0.2">
      <c r="A587" s="1">
        <v>45512</v>
      </c>
      <c r="B587" s="1" t="str">
        <f>_xlfn.CONCAT(YEAR(int_data[[#This Row],[date]]),"-",MONTH(int_data[[#This Row],[date]]))</f>
        <v>2024-8</v>
      </c>
      <c r="C587">
        <v>80.8</v>
      </c>
      <c r="D587">
        <v>241.12</v>
      </c>
    </row>
    <row r="588" spans="1:4" x14ac:dyDescent="0.2">
      <c r="A588" s="1">
        <v>45513</v>
      </c>
      <c r="B588" s="1" t="str">
        <f>_xlfn.CONCAT(YEAR(int_data[[#This Row],[date]]),"-",MONTH(int_data[[#This Row],[date]]))</f>
        <v>2024-8</v>
      </c>
      <c r="C588">
        <v>80.650000000000006</v>
      </c>
      <c r="D588">
        <v>245.28</v>
      </c>
    </row>
    <row r="589" spans="1:4" x14ac:dyDescent="0.2">
      <c r="A589" s="1">
        <v>45514</v>
      </c>
      <c r="B589" s="1" t="str">
        <f>_xlfn.CONCAT(YEAR(int_data[[#This Row],[date]]),"-",MONTH(int_data[[#This Row],[date]]))</f>
        <v>2024-8</v>
      </c>
      <c r="C589">
        <v>81.48</v>
      </c>
      <c r="D589">
        <v>246.976666666667</v>
      </c>
    </row>
    <row r="590" spans="1:4" x14ac:dyDescent="0.2">
      <c r="A590" s="1">
        <v>45515</v>
      </c>
      <c r="B590" s="1" t="str">
        <f>_xlfn.CONCAT(YEAR(int_data[[#This Row],[date]]),"-",MONTH(int_data[[#This Row],[date]]))</f>
        <v>2024-8</v>
      </c>
      <c r="C590">
        <v>82.31</v>
      </c>
      <c r="D590">
        <v>248.67333333333301</v>
      </c>
    </row>
    <row r="591" spans="1:4" x14ac:dyDescent="0.2">
      <c r="A591" s="1">
        <v>45516</v>
      </c>
      <c r="B591" s="1" t="str">
        <f>_xlfn.CONCAT(YEAR(int_data[[#This Row],[date]]),"-",MONTH(int_data[[#This Row],[date]]))</f>
        <v>2024-8</v>
      </c>
      <c r="C591">
        <v>83.14</v>
      </c>
      <c r="D591">
        <v>250.37</v>
      </c>
    </row>
    <row r="592" spans="1:4" x14ac:dyDescent="0.2">
      <c r="A592" s="1">
        <v>45517</v>
      </c>
      <c r="B592" s="1" t="str">
        <f>_xlfn.CONCAT(YEAR(int_data[[#This Row],[date]]),"-",MONTH(int_data[[#This Row],[date]]))</f>
        <v>2024-8</v>
      </c>
      <c r="C592">
        <v>89.16</v>
      </c>
      <c r="D592">
        <v>247.6</v>
      </c>
    </row>
    <row r="593" spans="1:4" x14ac:dyDescent="0.2">
      <c r="A593" s="1">
        <v>45518</v>
      </c>
      <c r="B593" s="1" t="str">
        <f>_xlfn.CONCAT(YEAR(int_data[[#This Row],[date]]),"-",MONTH(int_data[[#This Row],[date]]))</f>
        <v>2024-8</v>
      </c>
      <c r="C593">
        <v>90.34</v>
      </c>
      <c r="D593">
        <v>250.84</v>
      </c>
    </row>
    <row r="594" spans="1:4" x14ac:dyDescent="0.2">
      <c r="A594" s="1">
        <v>45519</v>
      </c>
      <c r="B594" s="1" t="str">
        <f>_xlfn.CONCAT(YEAR(int_data[[#This Row],[date]]),"-",MONTH(int_data[[#This Row],[date]]))</f>
        <v>2024-8</v>
      </c>
      <c r="C594">
        <v>92.625</v>
      </c>
      <c r="D594">
        <v>254.54</v>
      </c>
    </row>
    <row r="595" spans="1:4" x14ac:dyDescent="0.2">
      <c r="A595" s="1">
        <v>45520</v>
      </c>
      <c r="B595" s="1" t="str">
        <f>_xlfn.CONCAT(YEAR(int_data[[#This Row],[date]]),"-",MONTH(int_data[[#This Row],[date]]))</f>
        <v>2024-8</v>
      </c>
      <c r="C595">
        <v>94.91</v>
      </c>
      <c r="D595">
        <v>258.24</v>
      </c>
    </row>
    <row r="596" spans="1:4" x14ac:dyDescent="0.2">
      <c r="A596" s="1">
        <v>45521</v>
      </c>
      <c r="B596" s="1" t="str">
        <f>_xlfn.CONCAT(YEAR(int_data[[#This Row],[date]]),"-",MONTH(int_data[[#This Row],[date]]))</f>
        <v>2024-8</v>
      </c>
      <c r="C596">
        <v>94.683333333333294</v>
      </c>
      <c r="D596">
        <v>257.77666666666698</v>
      </c>
    </row>
    <row r="597" spans="1:4" x14ac:dyDescent="0.2">
      <c r="A597" s="1">
        <v>45522</v>
      </c>
      <c r="B597" s="1" t="str">
        <f>_xlfn.CONCAT(YEAR(int_data[[#This Row],[date]]),"-",MONTH(int_data[[#This Row],[date]]))</f>
        <v>2024-8</v>
      </c>
      <c r="C597">
        <v>94.456666666666706</v>
      </c>
      <c r="D597">
        <v>257.31333333333299</v>
      </c>
    </row>
    <row r="598" spans="1:4" x14ac:dyDescent="0.2">
      <c r="A598" s="1">
        <v>45523</v>
      </c>
      <c r="B598" s="1" t="str">
        <f>_xlfn.CONCAT(YEAR(int_data[[#This Row],[date]]),"-",MONTH(int_data[[#This Row],[date]]))</f>
        <v>2024-8</v>
      </c>
      <c r="C598">
        <v>94.23</v>
      </c>
      <c r="D598">
        <v>256.85000000000002</v>
      </c>
    </row>
    <row r="599" spans="1:4" x14ac:dyDescent="0.2">
      <c r="A599" s="1">
        <v>45524</v>
      </c>
      <c r="B599" s="1" t="str">
        <f>_xlfn.CONCAT(YEAR(int_data[[#This Row],[date]]),"-",MONTH(int_data[[#This Row],[date]]))</f>
        <v>2024-8</v>
      </c>
      <c r="C599">
        <v>90.85</v>
      </c>
      <c r="D599">
        <v>253.61</v>
      </c>
    </row>
    <row r="600" spans="1:4" x14ac:dyDescent="0.2">
      <c r="A600" s="1">
        <v>45525</v>
      </c>
      <c r="B600" s="1" t="str">
        <f>_xlfn.CONCAT(YEAR(int_data[[#This Row],[date]]),"-",MONTH(int_data[[#This Row],[date]]))</f>
        <v>2024-8</v>
      </c>
      <c r="C600">
        <v>91.5</v>
      </c>
      <c r="D600">
        <v>252.23</v>
      </c>
    </row>
    <row r="601" spans="1:4" x14ac:dyDescent="0.2">
      <c r="A601" s="1">
        <v>45526</v>
      </c>
      <c r="B601" s="1" t="str">
        <f>_xlfn.CONCAT(YEAR(int_data[[#This Row],[date]]),"-",MONTH(int_data[[#This Row],[date]]))</f>
        <v>2024-8</v>
      </c>
      <c r="C601">
        <v>92.55</v>
      </c>
      <c r="D601">
        <v>254.08</v>
      </c>
    </row>
    <row r="602" spans="1:4" x14ac:dyDescent="0.2">
      <c r="A602" s="1">
        <v>45527</v>
      </c>
      <c r="B602" s="1" t="str">
        <f>_xlfn.CONCAT(YEAR(int_data[[#This Row],[date]]),"-",MONTH(int_data[[#This Row],[date]]))</f>
        <v>2024-8</v>
      </c>
      <c r="C602">
        <v>92.68</v>
      </c>
      <c r="D602">
        <v>252.69</v>
      </c>
    </row>
    <row r="603" spans="1:4" x14ac:dyDescent="0.2">
      <c r="A603" s="1">
        <v>45528</v>
      </c>
      <c r="B603" s="1" t="str">
        <f>_xlfn.CONCAT(YEAR(int_data[[#This Row],[date]]),"-",MONTH(int_data[[#This Row],[date]]))</f>
        <v>2024-8</v>
      </c>
      <c r="C603">
        <v>92.47</v>
      </c>
      <c r="D603">
        <v>251.45666666666699</v>
      </c>
    </row>
    <row r="604" spans="1:4" x14ac:dyDescent="0.2">
      <c r="A604" s="1">
        <v>45529</v>
      </c>
      <c r="B604" s="1" t="str">
        <f>_xlfn.CONCAT(YEAR(int_data[[#This Row],[date]]),"-",MONTH(int_data[[#This Row],[date]]))</f>
        <v>2024-8</v>
      </c>
      <c r="C604">
        <v>92.26</v>
      </c>
      <c r="D604">
        <v>250.22333333333299</v>
      </c>
    </row>
    <row r="605" spans="1:4" x14ac:dyDescent="0.2">
      <c r="A605" s="1">
        <v>45530</v>
      </c>
      <c r="B605" s="1" t="str">
        <f>_xlfn.CONCAT(YEAR(int_data[[#This Row],[date]]),"-",MONTH(int_data[[#This Row],[date]]))</f>
        <v>2024-8</v>
      </c>
      <c r="C605">
        <v>92.05</v>
      </c>
      <c r="D605">
        <v>248.99</v>
      </c>
    </row>
    <row r="606" spans="1:4" x14ac:dyDescent="0.2">
      <c r="A606" s="1">
        <v>45531</v>
      </c>
      <c r="B606" s="1" t="str">
        <f>_xlfn.CONCAT(YEAR(int_data[[#This Row],[date]]),"-",MONTH(int_data[[#This Row],[date]]))</f>
        <v>2024-8</v>
      </c>
      <c r="C606">
        <v>91.32</v>
      </c>
      <c r="D606">
        <v>250.84</v>
      </c>
    </row>
    <row r="607" spans="1:4" x14ac:dyDescent="0.2">
      <c r="A607" s="1">
        <v>45532</v>
      </c>
      <c r="B607" s="1" t="str">
        <f>_xlfn.CONCAT(YEAR(int_data[[#This Row],[date]]),"-",MONTH(int_data[[#This Row],[date]]))</f>
        <v>2024-8</v>
      </c>
      <c r="C607">
        <v>93.32</v>
      </c>
      <c r="D607">
        <v>250.37</v>
      </c>
    </row>
    <row r="608" spans="1:4" x14ac:dyDescent="0.2">
      <c r="A608" s="1">
        <v>45533</v>
      </c>
      <c r="B608" s="1" t="str">
        <f>_xlfn.CONCAT(YEAR(int_data[[#This Row],[date]]),"-",MONTH(int_data[[#This Row],[date]]))</f>
        <v>2024-8</v>
      </c>
      <c r="C608">
        <v>93.27</v>
      </c>
      <c r="D608">
        <v>250.37</v>
      </c>
    </row>
    <row r="609" spans="1:4" x14ac:dyDescent="0.2">
      <c r="A609" s="1">
        <v>45534</v>
      </c>
      <c r="B609" s="1" t="str">
        <f>_xlfn.CONCAT(YEAR(int_data[[#This Row],[date]]),"-",MONTH(int_data[[#This Row],[date]]))</f>
        <v>2024-8</v>
      </c>
      <c r="C609">
        <v>93.14</v>
      </c>
      <c r="D609">
        <v>258.24</v>
      </c>
    </row>
    <row r="610" spans="1:4" x14ac:dyDescent="0.2">
      <c r="A610" s="1">
        <v>45535</v>
      </c>
      <c r="B610" s="1" t="str">
        <f>_xlfn.CONCAT(YEAR(int_data[[#This Row],[date]]),"-",MONTH(int_data[[#This Row],[date]]))</f>
        <v>2024-8</v>
      </c>
      <c r="C610">
        <v>93.4433333333333</v>
      </c>
      <c r="D610">
        <v>257.31333333333299</v>
      </c>
    </row>
    <row r="611" spans="1:4" x14ac:dyDescent="0.2">
      <c r="A611" s="1">
        <v>45536</v>
      </c>
      <c r="B611" s="1" t="str">
        <f>_xlfn.CONCAT(YEAR(int_data[[#This Row],[date]]),"-",MONTH(int_data[[#This Row],[date]]))</f>
        <v>2024-9</v>
      </c>
      <c r="C611">
        <v>93.746666666666698</v>
      </c>
      <c r="D611">
        <v>256.386666666667</v>
      </c>
    </row>
    <row r="612" spans="1:4" x14ac:dyDescent="0.2">
      <c r="A612" s="1">
        <v>45537</v>
      </c>
      <c r="B612" s="1" t="str">
        <f>_xlfn.CONCAT(YEAR(int_data[[#This Row],[date]]),"-",MONTH(int_data[[#This Row],[date]]))</f>
        <v>2024-9</v>
      </c>
      <c r="C612">
        <v>94.05</v>
      </c>
      <c r="D612">
        <v>255.46</v>
      </c>
    </row>
    <row r="613" spans="1:4" x14ac:dyDescent="0.2">
      <c r="A613" s="1">
        <v>45538</v>
      </c>
      <c r="B613" s="1" t="str">
        <f>_xlfn.CONCAT(YEAR(int_data[[#This Row],[date]]),"-",MONTH(int_data[[#This Row],[date]]))</f>
        <v>2024-9</v>
      </c>
      <c r="C613">
        <v>92.09</v>
      </c>
      <c r="D613">
        <v>251.76</v>
      </c>
    </row>
    <row r="614" spans="1:4" x14ac:dyDescent="0.2">
      <c r="A614" s="1">
        <v>45539</v>
      </c>
      <c r="B614" s="1" t="str">
        <f>_xlfn.CONCAT(YEAR(int_data[[#This Row],[date]]),"-",MONTH(int_data[[#This Row],[date]]))</f>
        <v>2024-9</v>
      </c>
      <c r="C614">
        <v>92.64</v>
      </c>
      <c r="D614">
        <v>253.61</v>
      </c>
    </row>
    <row r="615" spans="1:4" x14ac:dyDescent="0.2">
      <c r="A615" s="1">
        <v>45540</v>
      </c>
      <c r="B615" s="1" t="str">
        <f>_xlfn.CONCAT(YEAR(int_data[[#This Row],[date]]),"-",MONTH(int_data[[#This Row],[date]]))</f>
        <v>2024-9</v>
      </c>
      <c r="C615">
        <v>90.65</v>
      </c>
      <c r="D615">
        <v>248.99</v>
      </c>
    </row>
    <row r="616" spans="1:4" x14ac:dyDescent="0.2">
      <c r="A616" s="1">
        <v>45541</v>
      </c>
      <c r="B616" s="1" t="str">
        <f>_xlfn.CONCAT(YEAR(int_data[[#This Row],[date]]),"-",MONTH(int_data[[#This Row],[date]]))</f>
        <v>2024-9</v>
      </c>
      <c r="C616">
        <v>85.34</v>
      </c>
      <c r="D616">
        <v>236.95</v>
      </c>
    </row>
    <row r="617" spans="1:4" x14ac:dyDescent="0.2">
      <c r="A617" s="1">
        <v>45542</v>
      </c>
      <c r="B617" s="1" t="str">
        <f>_xlfn.CONCAT(YEAR(int_data[[#This Row],[date]]),"-",MONTH(int_data[[#This Row],[date]]))</f>
        <v>2024-9</v>
      </c>
      <c r="C617">
        <v>85.726666666666702</v>
      </c>
      <c r="D617">
        <v>237.41333333333299</v>
      </c>
    </row>
    <row r="618" spans="1:4" x14ac:dyDescent="0.2">
      <c r="A618" s="1">
        <v>45543</v>
      </c>
      <c r="B618" s="1" t="str">
        <f>_xlfn.CONCAT(YEAR(int_data[[#This Row],[date]]),"-",MONTH(int_data[[#This Row],[date]]))</f>
        <v>2024-9</v>
      </c>
      <c r="C618">
        <v>86.113333333333301</v>
      </c>
      <c r="D618">
        <v>237.87666666666701</v>
      </c>
    </row>
    <row r="619" spans="1:4" x14ac:dyDescent="0.2">
      <c r="A619" s="1">
        <v>45544</v>
      </c>
      <c r="B619" s="1" t="str">
        <f>_xlfn.CONCAT(YEAR(int_data[[#This Row],[date]]),"-",MONTH(int_data[[#This Row],[date]]))</f>
        <v>2024-9</v>
      </c>
      <c r="C619">
        <v>86.5</v>
      </c>
      <c r="D619">
        <v>238.34</v>
      </c>
    </row>
    <row r="620" spans="1:4" x14ac:dyDescent="0.2">
      <c r="A620" s="1">
        <v>45545</v>
      </c>
      <c r="B620" s="1" t="str">
        <f>_xlfn.CONCAT(YEAR(int_data[[#This Row],[date]]),"-",MONTH(int_data[[#This Row],[date]]))</f>
        <v>2024-9</v>
      </c>
      <c r="C620">
        <v>84.52</v>
      </c>
      <c r="D620">
        <v>236.03</v>
      </c>
    </row>
    <row r="621" spans="1:4" x14ac:dyDescent="0.2">
      <c r="A621" s="1">
        <v>45546</v>
      </c>
      <c r="B621" s="1" t="str">
        <f>_xlfn.CONCAT(YEAR(int_data[[#This Row],[date]]),"-",MONTH(int_data[[#This Row],[date]]))</f>
        <v>2024-9</v>
      </c>
      <c r="C621">
        <v>81.05</v>
      </c>
      <c r="D621">
        <v>226.77</v>
      </c>
    </row>
    <row r="622" spans="1:4" x14ac:dyDescent="0.2">
      <c r="A622" s="1">
        <v>45547</v>
      </c>
      <c r="B622" s="1" t="str">
        <f>_xlfn.CONCAT(YEAR(int_data[[#This Row],[date]]),"-",MONTH(int_data[[#This Row],[date]]))</f>
        <v>2024-9</v>
      </c>
      <c r="C622">
        <v>82.91</v>
      </c>
      <c r="D622">
        <v>239.27</v>
      </c>
    </row>
    <row r="623" spans="1:4" x14ac:dyDescent="0.2">
      <c r="A623" s="1">
        <v>45548</v>
      </c>
      <c r="B623" s="1" t="str">
        <f>_xlfn.CONCAT(YEAR(int_data[[#This Row],[date]]),"-",MONTH(int_data[[#This Row],[date]]))</f>
        <v>2024-9</v>
      </c>
      <c r="C623">
        <v>85.94</v>
      </c>
      <c r="D623">
        <v>242.97</v>
      </c>
    </row>
    <row r="624" spans="1:4" x14ac:dyDescent="0.2">
      <c r="A624" s="1">
        <v>45549</v>
      </c>
      <c r="B624" s="1" t="str">
        <f>_xlfn.CONCAT(YEAR(int_data[[#This Row],[date]]),"-",MONTH(int_data[[#This Row],[date]]))</f>
        <v>2024-9</v>
      </c>
      <c r="C624">
        <v>85.4433333333333</v>
      </c>
      <c r="D624">
        <v>242.04333333333301</v>
      </c>
    </row>
    <row r="625" spans="1:4" x14ac:dyDescent="0.2">
      <c r="A625" s="1">
        <v>45550</v>
      </c>
      <c r="B625" s="1" t="str">
        <f>_xlfn.CONCAT(YEAR(int_data[[#This Row],[date]]),"-",MONTH(int_data[[#This Row],[date]]))</f>
        <v>2024-9</v>
      </c>
      <c r="C625">
        <v>84.946666666666701</v>
      </c>
      <c r="D625">
        <v>241.11666666666699</v>
      </c>
    </row>
    <row r="626" spans="1:4" x14ac:dyDescent="0.2">
      <c r="A626" s="1">
        <v>45551</v>
      </c>
      <c r="B626" s="1" t="str">
        <f>_xlfn.CONCAT(YEAR(int_data[[#This Row],[date]]),"-",MONTH(int_data[[#This Row],[date]]))</f>
        <v>2024-9</v>
      </c>
      <c r="C626">
        <v>84.45</v>
      </c>
      <c r="D626">
        <v>240.19</v>
      </c>
    </row>
    <row r="627" spans="1:4" x14ac:dyDescent="0.2">
      <c r="A627" s="1">
        <v>45552</v>
      </c>
      <c r="B627" s="1" t="str">
        <f>_xlfn.CONCAT(YEAR(int_data[[#This Row],[date]]),"-",MONTH(int_data[[#This Row],[date]]))</f>
        <v>2024-9</v>
      </c>
      <c r="C627">
        <v>85.41</v>
      </c>
      <c r="D627">
        <v>242.51</v>
      </c>
    </row>
    <row r="628" spans="1:4" x14ac:dyDescent="0.2">
      <c r="A628" s="1">
        <v>45553</v>
      </c>
      <c r="B628" s="1" t="str">
        <f>_xlfn.CONCAT(YEAR(int_data[[#This Row],[date]]),"-",MONTH(int_data[[#This Row],[date]]))</f>
        <v>2024-9</v>
      </c>
      <c r="C628">
        <v>84.96</v>
      </c>
      <c r="D628">
        <v>242.51</v>
      </c>
    </row>
    <row r="629" spans="1:4" x14ac:dyDescent="0.2">
      <c r="A629" s="1">
        <v>45554</v>
      </c>
      <c r="B629" s="1" t="str">
        <f>_xlfn.CONCAT(YEAR(int_data[[#This Row],[date]]),"-",MONTH(int_data[[#This Row],[date]]))</f>
        <v>2024-9</v>
      </c>
      <c r="C629">
        <v>87.23</v>
      </c>
      <c r="D629">
        <v>237.42</v>
      </c>
    </row>
    <row r="630" spans="1:4" x14ac:dyDescent="0.2">
      <c r="A630" s="1">
        <v>45555</v>
      </c>
      <c r="B630" s="1" t="str">
        <f>_xlfn.CONCAT(YEAR(int_data[[#This Row],[date]]),"-",MONTH(int_data[[#This Row],[date]]))</f>
        <v>2024-9</v>
      </c>
      <c r="C630">
        <v>84.51</v>
      </c>
      <c r="D630">
        <v>238.8</v>
      </c>
    </row>
    <row r="631" spans="1:4" x14ac:dyDescent="0.2">
      <c r="A631" s="1">
        <v>45556</v>
      </c>
      <c r="B631" s="1" t="str">
        <f>_xlfn.CONCAT(YEAR(int_data[[#This Row],[date]]),"-",MONTH(int_data[[#This Row],[date]]))</f>
        <v>2024-9</v>
      </c>
      <c r="C631">
        <v>84.126666666666694</v>
      </c>
      <c r="D631">
        <v>238.183333333333</v>
      </c>
    </row>
    <row r="632" spans="1:4" x14ac:dyDescent="0.2">
      <c r="A632" s="1">
        <v>45557</v>
      </c>
      <c r="B632" s="1" t="str">
        <f>_xlfn.CONCAT(YEAR(int_data[[#This Row],[date]]),"-",MONTH(int_data[[#This Row],[date]]))</f>
        <v>2024-9</v>
      </c>
      <c r="C632">
        <v>83.743333333333297</v>
      </c>
      <c r="D632">
        <v>237.566666666667</v>
      </c>
    </row>
    <row r="633" spans="1:4" x14ac:dyDescent="0.2">
      <c r="A633" s="1">
        <v>45558</v>
      </c>
      <c r="B633" s="1" t="str">
        <f>_xlfn.CONCAT(YEAR(int_data[[#This Row],[date]]),"-",MONTH(int_data[[#This Row],[date]]))</f>
        <v>2024-9</v>
      </c>
      <c r="C633">
        <v>83.36</v>
      </c>
      <c r="D633">
        <v>236.95</v>
      </c>
    </row>
    <row r="634" spans="1:4" x14ac:dyDescent="0.2">
      <c r="A634" s="1">
        <v>45559</v>
      </c>
      <c r="B634" s="1" t="str">
        <f>_xlfn.CONCAT(YEAR(int_data[[#This Row],[date]]),"-",MONTH(int_data[[#This Row],[date]]))</f>
        <v>2024-9</v>
      </c>
      <c r="C634">
        <v>83.98</v>
      </c>
      <c r="D634">
        <v>243.43</v>
      </c>
    </row>
    <row r="635" spans="1:4" x14ac:dyDescent="0.2">
      <c r="A635" s="1">
        <v>45560</v>
      </c>
      <c r="B635" s="1" t="str">
        <f>_xlfn.CONCAT(YEAR(int_data[[#This Row],[date]]),"-",MONTH(int_data[[#This Row],[date]]))</f>
        <v>2024-9</v>
      </c>
      <c r="C635">
        <v>84.09</v>
      </c>
      <c r="D635">
        <v>241.12</v>
      </c>
    </row>
    <row r="636" spans="1:4" x14ac:dyDescent="0.2">
      <c r="A636" s="1">
        <v>45561</v>
      </c>
      <c r="B636" s="1" t="str">
        <f>_xlfn.CONCAT(YEAR(int_data[[#This Row],[date]]),"-",MONTH(int_data[[#This Row],[date]]))</f>
        <v>2024-9</v>
      </c>
      <c r="C636">
        <v>88.67</v>
      </c>
      <c r="D636">
        <v>246.67</v>
      </c>
    </row>
    <row r="637" spans="1:4" x14ac:dyDescent="0.2">
      <c r="A637" s="1">
        <v>45562</v>
      </c>
      <c r="B637" s="1" t="str">
        <f>_xlfn.CONCAT(YEAR(int_data[[#This Row],[date]]),"-",MONTH(int_data[[#This Row],[date]]))</f>
        <v>2024-9</v>
      </c>
      <c r="C637">
        <v>87.61</v>
      </c>
      <c r="D637">
        <v>245.28</v>
      </c>
    </row>
    <row r="638" spans="1:4" x14ac:dyDescent="0.2">
      <c r="A638" s="1">
        <v>45563</v>
      </c>
      <c r="B638" s="1" t="str">
        <f>_xlfn.CONCAT(YEAR(int_data[[#This Row],[date]]),"-",MONTH(int_data[[#This Row],[date]]))</f>
        <v>2024-9</v>
      </c>
      <c r="C638">
        <v>86.476666666666702</v>
      </c>
      <c r="D638">
        <v>244.66333333333299</v>
      </c>
    </row>
    <row r="639" spans="1:4" x14ac:dyDescent="0.2">
      <c r="A639" s="1">
        <v>45564</v>
      </c>
      <c r="B639" s="1" t="str">
        <f>_xlfn.CONCAT(YEAR(int_data[[#This Row],[date]]),"-",MONTH(int_data[[#This Row],[date]]))</f>
        <v>2024-9</v>
      </c>
      <c r="C639">
        <v>85.343333333333305</v>
      </c>
      <c r="D639">
        <v>244.04666666666699</v>
      </c>
    </row>
    <row r="640" spans="1:4" x14ac:dyDescent="0.2">
      <c r="A640" s="1">
        <v>45565</v>
      </c>
      <c r="B640" s="1" t="str">
        <f>_xlfn.CONCAT(YEAR(int_data[[#This Row],[date]]),"-",MONTH(int_data[[#This Row],[date]]))</f>
        <v>2024-9</v>
      </c>
      <c r="C640">
        <v>84.21</v>
      </c>
      <c r="D640">
        <v>243.43</v>
      </c>
    </row>
    <row r="641" spans="1:4" x14ac:dyDescent="0.2">
      <c r="A641" s="1">
        <v>45566</v>
      </c>
      <c r="B641" s="1" t="str">
        <f>_xlfn.CONCAT(YEAR(int_data[[#This Row],[date]]),"-",MONTH(int_data[[#This Row],[date]]))</f>
        <v>2024-10</v>
      </c>
      <c r="C641">
        <v>82.87</v>
      </c>
      <c r="D641">
        <v>237.42</v>
      </c>
    </row>
    <row r="642" spans="1:4" x14ac:dyDescent="0.2">
      <c r="A642" s="1">
        <v>45567</v>
      </c>
      <c r="B642" s="1" t="str">
        <f>_xlfn.CONCAT(YEAR(int_data[[#This Row],[date]]),"-",MONTH(int_data[[#This Row],[date]]))</f>
        <v>2024-10</v>
      </c>
      <c r="C642">
        <v>82.6</v>
      </c>
      <c r="D642">
        <v>240.66</v>
      </c>
    </row>
    <row r="643" spans="1:4" x14ac:dyDescent="0.2">
      <c r="A643" s="1">
        <v>45568</v>
      </c>
      <c r="B643" s="1" t="str">
        <f>_xlfn.CONCAT(YEAR(int_data[[#This Row],[date]]),"-",MONTH(int_data[[#This Row],[date]]))</f>
        <v>2024-10</v>
      </c>
      <c r="C643">
        <v>80.09</v>
      </c>
      <c r="D643">
        <v>236.03</v>
      </c>
    </row>
    <row r="644" spans="1:4" x14ac:dyDescent="0.2">
      <c r="A644" s="1">
        <v>45569</v>
      </c>
      <c r="B644" s="1" t="str">
        <f>_xlfn.CONCAT(YEAR(int_data[[#This Row],[date]]),"-",MONTH(int_data[[#This Row],[date]]))</f>
        <v>2024-10</v>
      </c>
      <c r="C644">
        <v>80.25</v>
      </c>
      <c r="D644">
        <v>236.95</v>
      </c>
    </row>
    <row r="645" spans="1:4" x14ac:dyDescent="0.2">
      <c r="A645" s="1">
        <v>45570</v>
      </c>
      <c r="B645" s="1" t="str">
        <f>_xlfn.CONCAT(YEAR(int_data[[#This Row],[date]]),"-",MONTH(int_data[[#This Row],[date]]))</f>
        <v>2024-10</v>
      </c>
      <c r="C645">
        <v>80.22</v>
      </c>
      <c r="D645">
        <v>237.41333333333299</v>
      </c>
    </row>
    <row r="646" spans="1:4" x14ac:dyDescent="0.2">
      <c r="A646" s="1">
        <v>45571</v>
      </c>
      <c r="B646" s="1" t="str">
        <f>_xlfn.CONCAT(YEAR(int_data[[#This Row],[date]]),"-",MONTH(int_data[[#This Row],[date]]))</f>
        <v>2024-10</v>
      </c>
      <c r="C646">
        <v>80.19</v>
      </c>
      <c r="D646">
        <v>237.87666666666701</v>
      </c>
    </row>
    <row r="647" spans="1:4" x14ac:dyDescent="0.2">
      <c r="A647" s="1">
        <v>45572</v>
      </c>
      <c r="B647" s="1" t="str">
        <f>_xlfn.CONCAT(YEAR(int_data[[#This Row],[date]]),"-",MONTH(int_data[[#This Row],[date]]))</f>
        <v>2024-10</v>
      </c>
      <c r="C647">
        <v>80.16</v>
      </c>
      <c r="D647">
        <v>238.34</v>
      </c>
    </row>
    <row r="648" spans="1:4" x14ac:dyDescent="0.2">
      <c r="A648" s="1">
        <v>45573</v>
      </c>
      <c r="B648" s="1" t="str">
        <f>_xlfn.CONCAT(YEAR(int_data[[#This Row],[date]]),"-",MONTH(int_data[[#This Row],[date]]))</f>
        <v>2024-10</v>
      </c>
      <c r="C648">
        <v>80.25</v>
      </c>
      <c r="D648">
        <v>239.73</v>
      </c>
    </row>
    <row r="649" spans="1:4" x14ac:dyDescent="0.2">
      <c r="A649" s="1">
        <v>45574</v>
      </c>
      <c r="B649" s="1" t="str">
        <f>_xlfn.CONCAT(YEAR(int_data[[#This Row],[date]]),"-",MONTH(int_data[[#This Row],[date]]))</f>
        <v>2024-10</v>
      </c>
      <c r="C649">
        <v>84.56</v>
      </c>
      <c r="D649">
        <v>242.97</v>
      </c>
    </row>
    <row r="650" spans="1:4" x14ac:dyDescent="0.2">
      <c r="A650" s="1">
        <v>45575</v>
      </c>
      <c r="B650" s="1" t="str">
        <f>_xlfn.CONCAT(YEAR(int_data[[#This Row],[date]]),"-",MONTH(int_data[[#This Row],[date]]))</f>
        <v>2024-10</v>
      </c>
      <c r="C650">
        <v>85.29</v>
      </c>
      <c r="D650">
        <v>242.51</v>
      </c>
    </row>
    <row r="651" spans="1:4" x14ac:dyDescent="0.2">
      <c r="A651" s="1">
        <v>45576</v>
      </c>
      <c r="B651" s="1" t="str">
        <f>_xlfn.CONCAT(YEAR(int_data[[#This Row],[date]]),"-",MONTH(int_data[[#This Row],[date]]))</f>
        <v>2024-10</v>
      </c>
      <c r="C651">
        <v>85.94</v>
      </c>
      <c r="D651">
        <v>247.6</v>
      </c>
    </row>
    <row r="652" spans="1:4" x14ac:dyDescent="0.2">
      <c r="A652" s="1">
        <v>45577</v>
      </c>
      <c r="B652" s="1" t="str">
        <f>_xlfn.CONCAT(YEAR(int_data[[#This Row],[date]]),"-",MONTH(int_data[[#This Row],[date]]))</f>
        <v>2024-10</v>
      </c>
      <c r="C652">
        <v>86.296666666666695</v>
      </c>
      <c r="D652">
        <v>248.523333333333</v>
      </c>
    </row>
    <row r="653" spans="1:4" x14ac:dyDescent="0.2">
      <c r="A653" s="1">
        <v>45578</v>
      </c>
      <c r="B653" s="1" t="str">
        <f>_xlfn.CONCAT(YEAR(int_data[[#This Row],[date]]),"-",MONTH(int_data[[#This Row],[date]]))</f>
        <v>2024-10</v>
      </c>
      <c r="C653">
        <v>86.653333333333293</v>
      </c>
      <c r="D653">
        <v>249.446666666667</v>
      </c>
    </row>
    <row r="654" spans="1:4" x14ac:dyDescent="0.2">
      <c r="A654" s="1">
        <v>45579</v>
      </c>
      <c r="B654" s="1" t="str">
        <f>_xlfn.CONCAT(YEAR(int_data[[#This Row],[date]]),"-",MONTH(int_data[[#This Row],[date]]))</f>
        <v>2024-10</v>
      </c>
      <c r="C654">
        <v>87.01</v>
      </c>
      <c r="D654">
        <v>250.37</v>
      </c>
    </row>
    <row r="655" spans="1:4" x14ac:dyDescent="0.2">
      <c r="A655" s="1">
        <v>45580</v>
      </c>
      <c r="B655" s="1" t="str">
        <f>_xlfn.CONCAT(YEAR(int_data[[#This Row],[date]]),"-",MONTH(int_data[[#This Row],[date]]))</f>
        <v>2024-10</v>
      </c>
      <c r="C655">
        <v>86.67</v>
      </c>
      <c r="D655">
        <v>255.93</v>
      </c>
    </row>
    <row r="656" spans="1:4" x14ac:dyDescent="0.2">
      <c r="A656" s="1">
        <v>45581</v>
      </c>
      <c r="B656" s="1" t="str">
        <f>_xlfn.CONCAT(YEAR(int_data[[#This Row],[date]]),"-",MONTH(int_data[[#This Row],[date]]))</f>
        <v>2024-10</v>
      </c>
      <c r="C656">
        <v>87.7</v>
      </c>
      <c r="D656">
        <v>254.08</v>
      </c>
    </row>
    <row r="657" spans="1:4" x14ac:dyDescent="0.2">
      <c r="A657" s="1">
        <v>45582</v>
      </c>
      <c r="B657" s="1" t="str">
        <f>_xlfn.CONCAT(YEAR(int_data[[#This Row],[date]]),"-",MONTH(int_data[[#This Row],[date]]))</f>
        <v>2024-10</v>
      </c>
      <c r="C657">
        <v>85.01</v>
      </c>
      <c r="D657">
        <v>242.51</v>
      </c>
    </row>
    <row r="658" spans="1:4" x14ac:dyDescent="0.2">
      <c r="A658" s="1">
        <v>45583</v>
      </c>
      <c r="B658" s="1" t="str">
        <f>_xlfn.CONCAT(YEAR(int_data[[#This Row],[date]]),"-",MONTH(int_data[[#This Row],[date]]))</f>
        <v>2024-10</v>
      </c>
      <c r="C658">
        <v>85.87</v>
      </c>
      <c r="D658">
        <v>245.28</v>
      </c>
    </row>
    <row r="659" spans="1:4" x14ac:dyDescent="0.2">
      <c r="A659" s="1">
        <v>45584</v>
      </c>
      <c r="B659" s="1" t="str">
        <f>_xlfn.CONCAT(YEAR(int_data[[#This Row],[date]]),"-",MONTH(int_data[[#This Row],[date]]))</f>
        <v>2024-10</v>
      </c>
      <c r="C659">
        <v>85.566666666666706</v>
      </c>
      <c r="D659">
        <v>246.053333333333</v>
      </c>
    </row>
    <row r="660" spans="1:4" x14ac:dyDescent="0.2">
      <c r="A660" s="1">
        <v>45585</v>
      </c>
      <c r="B660" s="1" t="str">
        <f>_xlfn.CONCAT(YEAR(int_data[[#This Row],[date]]),"-",MONTH(int_data[[#This Row],[date]]))</f>
        <v>2024-10</v>
      </c>
      <c r="C660">
        <v>85.263333333333307</v>
      </c>
      <c r="D660">
        <v>246.82666666666699</v>
      </c>
    </row>
    <row r="661" spans="1:4" x14ac:dyDescent="0.2">
      <c r="A661" s="1">
        <v>45586</v>
      </c>
      <c r="B661" s="1" t="str">
        <f>_xlfn.CONCAT(YEAR(int_data[[#This Row],[date]]),"-",MONTH(int_data[[#This Row],[date]]))</f>
        <v>2024-10</v>
      </c>
      <c r="C661">
        <v>84.96</v>
      </c>
      <c r="D661">
        <v>247.6</v>
      </c>
    </row>
    <row r="662" spans="1:4" x14ac:dyDescent="0.2">
      <c r="A662" s="1">
        <v>45587</v>
      </c>
      <c r="B662" s="1" t="str">
        <f>_xlfn.CONCAT(YEAR(int_data[[#This Row],[date]]),"-",MONTH(int_data[[#This Row],[date]]))</f>
        <v>2024-10</v>
      </c>
      <c r="C662">
        <v>82.91</v>
      </c>
      <c r="D662">
        <v>238.8</v>
      </c>
    </row>
    <row r="663" spans="1:4" x14ac:dyDescent="0.2">
      <c r="A663" s="1">
        <v>45588</v>
      </c>
      <c r="B663" s="1" t="str">
        <f>_xlfn.CONCAT(YEAR(int_data[[#This Row],[date]]),"-",MONTH(int_data[[#This Row],[date]]))</f>
        <v>2024-10</v>
      </c>
      <c r="C663">
        <v>82.98</v>
      </c>
      <c r="D663">
        <v>240.19</v>
      </c>
    </row>
    <row r="664" spans="1:4" x14ac:dyDescent="0.2">
      <c r="A664" s="1">
        <v>45589</v>
      </c>
      <c r="B664" s="1" t="str">
        <f>_xlfn.CONCAT(YEAR(int_data[[#This Row],[date]]),"-",MONTH(int_data[[#This Row],[date]]))</f>
        <v>2024-10</v>
      </c>
      <c r="C664">
        <v>81.25</v>
      </c>
      <c r="D664">
        <v>239.73</v>
      </c>
    </row>
    <row r="665" spans="1:4" x14ac:dyDescent="0.2">
      <c r="A665" s="1">
        <v>45590</v>
      </c>
      <c r="B665" s="1" t="str">
        <f>_xlfn.CONCAT(YEAR(int_data[[#This Row],[date]]),"-",MONTH(int_data[[#This Row],[date]]))</f>
        <v>2024-10</v>
      </c>
      <c r="C665">
        <v>80.540000000000006</v>
      </c>
      <c r="D665">
        <v>236.49</v>
      </c>
    </row>
    <row r="666" spans="1:4" x14ac:dyDescent="0.2">
      <c r="A666" s="1">
        <v>45591</v>
      </c>
      <c r="B666" s="1" t="str">
        <f>_xlfn.CONCAT(YEAR(int_data[[#This Row],[date]]),"-",MONTH(int_data[[#This Row],[date]]))</f>
        <v>2024-10</v>
      </c>
      <c r="C666">
        <v>80.203333333333305</v>
      </c>
      <c r="D666">
        <v>235.87333333333299</v>
      </c>
    </row>
    <row r="667" spans="1:4" x14ac:dyDescent="0.2">
      <c r="A667" s="1">
        <v>45592</v>
      </c>
      <c r="B667" s="1" t="str">
        <f>_xlfn.CONCAT(YEAR(int_data[[#This Row],[date]]),"-",MONTH(int_data[[#This Row],[date]]))</f>
        <v>2024-10</v>
      </c>
      <c r="C667">
        <v>79.866666666666703</v>
      </c>
      <c r="D667">
        <v>235.256666666667</v>
      </c>
    </row>
    <row r="668" spans="1:4" x14ac:dyDescent="0.2">
      <c r="A668" s="1">
        <v>45593</v>
      </c>
      <c r="B668" s="1" t="str">
        <f>_xlfn.CONCAT(YEAR(int_data[[#This Row],[date]]),"-",MONTH(int_data[[#This Row],[date]]))</f>
        <v>2024-10</v>
      </c>
      <c r="C668">
        <v>79.53</v>
      </c>
      <c r="D668">
        <v>234.64</v>
      </c>
    </row>
    <row r="669" spans="1:4" x14ac:dyDescent="0.2">
      <c r="A669" s="1">
        <v>45594</v>
      </c>
      <c r="B669" s="1" t="str">
        <f>_xlfn.CONCAT(YEAR(int_data[[#This Row],[date]]),"-",MONTH(int_data[[#This Row],[date]]))</f>
        <v>2024-10</v>
      </c>
      <c r="C669">
        <v>83.11</v>
      </c>
      <c r="D669">
        <v>232.32</v>
      </c>
    </row>
    <row r="670" spans="1:4" x14ac:dyDescent="0.2">
      <c r="A670" s="1">
        <v>45595</v>
      </c>
      <c r="B670" s="1" t="str">
        <f>_xlfn.CONCAT(YEAR(int_data[[#This Row],[date]]),"-",MONTH(int_data[[#This Row],[date]]))</f>
        <v>2024-10</v>
      </c>
      <c r="C670">
        <v>80.819999999999993</v>
      </c>
      <c r="D670">
        <v>236.03</v>
      </c>
    </row>
    <row r="671" spans="1:4" x14ac:dyDescent="0.2">
      <c r="A671" s="1">
        <v>45596</v>
      </c>
      <c r="B671" s="1" t="str">
        <f>_xlfn.CONCAT(YEAR(int_data[[#This Row],[date]]),"-",MONTH(int_data[[#This Row],[date]]))</f>
        <v>2024-10</v>
      </c>
      <c r="C671">
        <v>79.42</v>
      </c>
      <c r="D671">
        <v>230.01</v>
      </c>
    </row>
    <row r="672" spans="1:4" x14ac:dyDescent="0.2">
      <c r="A672" s="1">
        <v>45597</v>
      </c>
      <c r="B672" s="1" t="str">
        <f>_xlfn.CONCAT(YEAR(int_data[[#This Row],[date]]),"-",MONTH(int_data[[#This Row],[date]]))</f>
        <v>2024-11</v>
      </c>
      <c r="C672">
        <v>80.287499999999994</v>
      </c>
      <c r="D672">
        <v>229.89500000000001</v>
      </c>
    </row>
    <row r="673" spans="1:4" x14ac:dyDescent="0.2">
      <c r="A673" s="1">
        <v>45598</v>
      </c>
      <c r="B673" s="1" t="str">
        <f>_xlfn.CONCAT(YEAR(int_data[[#This Row],[date]]),"-",MONTH(int_data[[#This Row],[date]]))</f>
        <v>2024-11</v>
      </c>
      <c r="C673">
        <v>81.155000000000001</v>
      </c>
      <c r="D673">
        <v>229.78</v>
      </c>
    </row>
    <row r="674" spans="1:4" x14ac:dyDescent="0.2">
      <c r="A674" s="1">
        <v>45599</v>
      </c>
      <c r="B674" s="1" t="str">
        <f>_xlfn.CONCAT(YEAR(int_data[[#This Row],[date]]),"-",MONTH(int_data[[#This Row],[date]]))</f>
        <v>2024-11</v>
      </c>
      <c r="C674">
        <v>82.022499999999994</v>
      </c>
      <c r="D674">
        <v>229.66499999999999</v>
      </c>
    </row>
    <row r="675" spans="1:4" x14ac:dyDescent="0.2">
      <c r="A675" s="1">
        <v>45600</v>
      </c>
      <c r="B675" s="1" t="str">
        <f>_xlfn.CONCAT(YEAR(int_data[[#This Row],[date]]),"-",MONTH(int_data[[#This Row],[date]]))</f>
        <v>2024-11</v>
      </c>
      <c r="C675">
        <v>82.89</v>
      </c>
      <c r="D675">
        <v>229.55</v>
      </c>
    </row>
    <row r="676" spans="1:4" x14ac:dyDescent="0.2">
      <c r="A676" s="1">
        <v>45601</v>
      </c>
      <c r="B676" s="1" t="str">
        <f>_xlfn.CONCAT(YEAR(int_data[[#This Row],[date]]),"-",MONTH(int_data[[#This Row],[date]]))</f>
        <v>2024-11</v>
      </c>
      <c r="C676">
        <v>82.87</v>
      </c>
      <c r="D676">
        <v>230.94</v>
      </c>
    </row>
    <row r="677" spans="1:4" x14ac:dyDescent="0.2">
      <c r="A677" s="1">
        <v>45602</v>
      </c>
      <c r="B677" s="1" t="str">
        <f>_xlfn.CONCAT(YEAR(int_data[[#This Row],[date]]),"-",MONTH(int_data[[#This Row],[date]]))</f>
        <v>2024-11</v>
      </c>
      <c r="C677">
        <v>81.98</v>
      </c>
      <c r="D677">
        <v>228.16</v>
      </c>
    </row>
    <row r="678" spans="1:4" x14ac:dyDescent="0.2">
      <c r="A678" s="1">
        <v>45603</v>
      </c>
      <c r="B678" s="1" t="str">
        <f>_xlfn.CONCAT(YEAR(int_data[[#This Row],[date]]),"-",MONTH(int_data[[#This Row],[date]]))</f>
        <v>2024-11</v>
      </c>
      <c r="C678">
        <v>88.19</v>
      </c>
      <c r="D678">
        <v>236.03</v>
      </c>
    </row>
    <row r="679" spans="1:4" x14ac:dyDescent="0.2">
      <c r="A679" s="1">
        <v>45604</v>
      </c>
      <c r="B679" s="1" t="str">
        <f>_xlfn.CONCAT(YEAR(int_data[[#This Row],[date]]),"-",MONTH(int_data[[#This Row],[date]]))</f>
        <v>2024-11</v>
      </c>
      <c r="C679">
        <v>87.05</v>
      </c>
      <c r="D679">
        <v>234.64</v>
      </c>
    </row>
    <row r="680" spans="1:4" x14ac:dyDescent="0.2">
      <c r="A680" s="1">
        <v>45605</v>
      </c>
      <c r="B680" s="1" t="str">
        <f>_xlfn.CONCAT(YEAR(int_data[[#This Row],[date]]),"-",MONTH(int_data[[#This Row],[date]]))</f>
        <v>2024-11</v>
      </c>
      <c r="C680">
        <v>86.777500000000003</v>
      </c>
      <c r="D680">
        <v>236.0275</v>
      </c>
    </row>
    <row r="681" spans="1:4" x14ac:dyDescent="0.2">
      <c r="A681" s="1">
        <v>45606</v>
      </c>
      <c r="B681" s="1" t="str">
        <f>_xlfn.CONCAT(YEAR(int_data[[#This Row],[date]]),"-",MONTH(int_data[[#This Row],[date]]))</f>
        <v>2024-11</v>
      </c>
      <c r="C681">
        <v>86.504999999999995</v>
      </c>
      <c r="D681">
        <v>237.41499999999999</v>
      </c>
    </row>
    <row r="682" spans="1:4" x14ac:dyDescent="0.2">
      <c r="A682" s="1">
        <v>45607</v>
      </c>
      <c r="B682" s="1" t="str">
        <f>_xlfn.CONCAT(YEAR(int_data[[#This Row],[date]]),"-",MONTH(int_data[[#This Row],[date]]))</f>
        <v>2024-11</v>
      </c>
      <c r="C682">
        <v>86.232500000000002</v>
      </c>
      <c r="D682">
        <v>238.80250000000001</v>
      </c>
    </row>
    <row r="683" spans="1:4" x14ac:dyDescent="0.2">
      <c r="A683" s="1">
        <v>45608</v>
      </c>
      <c r="B683" s="1" t="str">
        <f>_xlfn.CONCAT(YEAR(int_data[[#This Row],[date]]),"-",MONTH(int_data[[#This Row],[date]]))</f>
        <v>2024-11</v>
      </c>
      <c r="C683">
        <v>85.96</v>
      </c>
      <c r="D683">
        <v>240.19</v>
      </c>
    </row>
    <row r="684" spans="1:4" x14ac:dyDescent="0.2">
      <c r="A684" s="1">
        <v>45609</v>
      </c>
      <c r="B684" s="1" t="str">
        <f>_xlfn.CONCAT(YEAR(int_data[[#This Row],[date]]),"-",MONTH(int_data[[#This Row],[date]]))</f>
        <v>2024-11</v>
      </c>
      <c r="C684">
        <v>82.11</v>
      </c>
      <c r="D684">
        <v>239.27</v>
      </c>
    </row>
    <row r="685" spans="1:4" x14ac:dyDescent="0.2">
      <c r="A685" s="1">
        <v>45610</v>
      </c>
      <c r="B685" s="1" t="str">
        <f>_xlfn.CONCAT(YEAR(int_data[[#This Row],[date]]),"-",MONTH(int_data[[#This Row],[date]]))</f>
        <v>2024-11</v>
      </c>
      <c r="C685">
        <v>81.849999999999994</v>
      </c>
      <c r="D685">
        <v>236.49</v>
      </c>
    </row>
    <row r="686" spans="1:4" x14ac:dyDescent="0.2">
      <c r="A686" s="1">
        <v>45611</v>
      </c>
      <c r="B686" s="1" t="str">
        <f>_xlfn.CONCAT(YEAR(int_data[[#This Row],[date]]),"-",MONTH(int_data[[#This Row],[date]]))</f>
        <v>2024-11</v>
      </c>
      <c r="C686">
        <v>80.45</v>
      </c>
      <c r="D686">
        <v>233.71</v>
      </c>
    </row>
    <row r="687" spans="1:4" x14ac:dyDescent="0.2">
      <c r="A687" s="1">
        <v>45612</v>
      </c>
      <c r="B687" s="1" t="str">
        <f>_xlfn.CONCAT(YEAR(int_data[[#This Row],[date]]),"-",MONTH(int_data[[#This Row],[date]]))</f>
        <v>2024-11</v>
      </c>
      <c r="C687">
        <v>80.41</v>
      </c>
      <c r="D687">
        <v>233.09333333333299</v>
      </c>
    </row>
    <row r="688" spans="1:4" x14ac:dyDescent="0.2">
      <c r="A688" s="1">
        <v>45613</v>
      </c>
      <c r="B688" s="1" t="str">
        <f>_xlfn.CONCAT(YEAR(int_data[[#This Row],[date]]),"-",MONTH(int_data[[#This Row],[date]]))</f>
        <v>2024-11</v>
      </c>
      <c r="C688">
        <v>80.37</v>
      </c>
      <c r="D688">
        <v>232.476666666667</v>
      </c>
    </row>
    <row r="689" spans="1:4" x14ac:dyDescent="0.2">
      <c r="A689" s="1">
        <v>45614</v>
      </c>
      <c r="B689" s="1" t="str">
        <f>_xlfn.CONCAT(YEAR(int_data[[#This Row],[date]]),"-",MONTH(int_data[[#This Row],[date]]))</f>
        <v>2024-11</v>
      </c>
      <c r="C689">
        <v>80.33</v>
      </c>
      <c r="D689">
        <v>231.86</v>
      </c>
    </row>
    <row r="690" spans="1:4" x14ac:dyDescent="0.2">
      <c r="A690" s="1">
        <v>45615</v>
      </c>
      <c r="B690" s="1" t="str">
        <f>_xlfn.CONCAT(YEAR(int_data[[#This Row],[date]]),"-",MONTH(int_data[[#This Row],[date]]))</f>
        <v>2024-11</v>
      </c>
      <c r="C690">
        <v>78.02</v>
      </c>
      <c r="D690">
        <v>222.14</v>
      </c>
    </row>
    <row r="691" spans="1:4" x14ac:dyDescent="0.2">
      <c r="A691" s="1">
        <v>45616</v>
      </c>
      <c r="B691" s="1" t="str">
        <f>_xlfn.CONCAT(YEAR(int_data[[#This Row],[date]]),"-",MONTH(int_data[[#This Row],[date]]))</f>
        <v>2024-11</v>
      </c>
      <c r="C691">
        <v>79.599999999999994</v>
      </c>
      <c r="D691">
        <v>222.61</v>
      </c>
    </row>
    <row r="692" spans="1:4" x14ac:dyDescent="0.2">
      <c r="A692" s="1">
        <v>45617</v>
      </c>
      <c r="B692" s="1" t="str">
        <f>_xlfn.CONCAT(YEAR(int_data[[#This Row],[date]]),"-",MONTH(int_data[[#This Row],[date]]))</f>
        <v>2024-11</v>
      </c>
      <c r="C692">
        <v>79.599999999999994</v>
      </c>
      <c r="D692">
        <v>226.31</v>
      </c>
    </row>
    <row r="693" spans="1:4" x14ac:dyDescent="0.2">
      <c r="A693" s="1">
        <v>45618</v>
      </c>
      <c r="B693" s="1" t="str">
        <f>_xlfn.CONCAT(YEAR(int_data[[#This Row],[date]]),"-",MONTH(int_data[[#This Row],[date]]))</f>
        <v>2024-11</v>
      </c>
      <c r="C693">
        <v>81.96</v>
      </c>
      <c r="D693">
        <v>226.77</v>
      </c>
    </row>
    <row r="694" spans="1:4" x14ac:dyDescent="0.2">
      <c r="A694" s="1">
        <v>45619</v>
      </c>
      <c r="B694" s="1" t="str">
        <f>_xlfn.CONCAT(YEAR(int_data[[#This Row],[date]]),"-",MONTH(int_data[[#This Row],[date]]))</f>
        <v>2024-11</v>
      </c>
      <c r="C694">
        <v>82.716666666666697</v>
      </c>
      <c r="D694">
        <v>223.066666666667</v>
      </c>
    </row>
    <row r="695" spans="1:4" x14ac:dyDescent="0.2">
      <c r="A695" s="1">
        <v>45620</v>
      </c>
      <c r="B695" s="1" t="str">
        <f>_xlfn.CONCAT(YEAR(int_data[[#This Row],[date]]),"-",MONTH(int_data[[#This Row],[date]]))</f>
        <v>2024-11</v>
      </c>
      <c r="C695">
        <v>83.473333333333301</v>
      </c>
      <c r="D695">
        <v>219.363333333333</v>
      </c>
    </row>
    <row r="696" spans="1:4" x14ac:dyDescent="0.2">
      <c r="A696" s="1">
        <v>45621</v>
      </c>
      <c r="B696" s="1" t="str">
        <f>_xlfn.CONCAT(YEAR(int_data[[#This Row],[date]]),"-",MONTH(int_data[[#This Row],[date]]))</f>
        <v>2024-11</v>
      </c>
      <c r="C696">
        <v>84.23</v>
      </c>
      <c r="D696">
        <v>215.66</v>
      </c>
    </row>
    <row r="697" spans="1:4" x14ac:dyDescent="0.2">
      <c r="A697" s="1">
        <v>45622</v>
      </c>
      <c r="B697" s="1" t="str">
        <f>_xlfn.CONCAT(YEAR(int_data[[#This Row],[date]]),"-",MONTH(int_data[[#This Row],[date]]))</f>
        <v>2024-11</v>
      </c>
      <c r="C697">
        <v>81.58</v>
      </c>
      <c r="D697">
        <v>211.04</v>
      </c>
    </row>
    <row r="698" spans="1:4" x14ac:dyDescent="0.2">
      <c r="A698" s="1">
        <v>45623</v>
      </c>
      <c r="B698" s="1" t="str">
        <f>_xlfn.CONCAT(YEAR(int_data[[#This Row],[date]]),"-",MONTH(int_data[[#This Row],[date]]))</f>
        <v>2024-11</v>
      </c>
      <c r="C698">
        <v>81.709999999999994</v>
      </c>
      <c r="D698">
        <v>210.11</v>
      </c>
    </row>
    <row r="699" spans="1:4" x14ac:dyDescent="0.2">
      <c r="A699" s="1">
        <v>45624</v>
      </c>
      <c r="B699" s="1" t="str">
        <f>_xlfn.CONCAT(YEAR(int_data[[#This Row],[date]]),"-",MONTH(int_data[[#This Row],[date]]))</f>
        <v>2024-11</v>
      </c>
      <c r="C699">
        <v>83.54</v>
      </c>
      <c r="D699">
        <v>214.74</v>
      </c>
    </row>
    <row r="700" spans="1:4" x14ac:dyDescent="0.2">
      <c r="A700" s="1">
        <v>45625</v>
      </c>
      <c r="B700" s="1" t="str">
        <f>_xlfn.CONCAT(YEAR(int_data[[#This Row],[date]]),"-",MONTH(int_data[[#This Row],[date]]))</f>
        <v>2024-11</v>
      </c>
      <c r="C700">
        <v>82.96</v>
      </c>
      <c r="D700">
        <v>218.9</v>
      </c>
    </row>
    <row r="701" spans="1:4" x14ac:dyDescent="0.2">
      <c r="A701" s="1">
        <v>45626</v>
      </c>
      <c r="B701" s="1" t="str">
        <f>_xlfn.CONCAT(YEAR(int_data[[#This Row],[date]]),"-",MONTH(int_data[[#This Row],[date]]))</f>
        <v>2024-11</v>
      </c>
      <c r="C701">
        <v>83.276666666666699</v>
      </c>
      <c r="D701">
        <v>220.29</v>
      </c>
    </row>
    <row r="702" spans="1:4" x14ac:dyDescent="0.2">
      <c r="A702" s="1">
        <v>45627</v>
      </c>
      <c r="B702" s="1" t="str">
        <f>_xlfn.CONCAT(YEAR(int_data[[#This Row],[date]]),"-",MONTH(int_data[[#This Row],[date]]))</f>
        <v>2024-12</v>
      </c>
      <c r="C702">
        <v>83.593333333333305</v>
      </c>
      <c r="D702">
        <v>221.68</v>
      </c>
    </row>
    <row r="703" spans="1:4" x14ac:dyDescent="0.2">
      <c r="A703" s="1">
        <v>45628</v>
      </c>
      <c r="B703" s="1" t="str">
        <f>_xlfn.CONCAT(YEAR(int_data[[#This Row],[date]]),"-",MONTH(int_data[[#This Row],[date]]))</f>
        <v>2024-12</v>
      </c>
      <c r="C703">
        <v>83.91</v>
      </c>
      <c r="D703">
        <v>223.07</v>
      </c>
    </row>
    <row r="704" spans="1:4" x14ac:dyDescent="0.2">
      <c r="A704" s="1">
        <v>45629</v>
      </c>
      <c r="B704" s="1" t="str">
        <f>_xlfn.CONCAT(YEAR(int_data[[#This Row],[date]]),"-",MONTH(int_data[[#This Row],[date]]))</f>
        <v>2024-12</v>
      </c>
      <c r="C704">
        <v>82.83</v>
      </c>
      <c r="D704">
        <v>217.52</v>
      </c>
    </row>
    <row r="705" spans="1:4" x14ac:dyDescent="0.2">
      <c r="A705" s="1">
        <v>45630</v>
      </c>
      <c r="B705" s="1" t="str">
        <f>_xlfn.CONCAT(YEAR(int_data[[#This Row],[date]]),"-",MONTH(int_data[[#This Row],[date]]))</f>
        <v>2024-12</v>
      </c>
      <c r="C705">
        <v>81.94</v>
      </c>
      <c r="D705">
        <v>220.29</v>
      </c>
    </row>
    <row r="706" spans="1:4" x14ac:dyDescent="0.2">
      <c r="A706" s="1">
        <v>45631</v>
      </c>
      <c r="B706" s="1" t="str">
        <f>_xlfn.CONCAT(YEAR(int_data[[#This Row],[date]]),"-",MONTH(int_data[[#This Row],[date]]))</f>
        <v>2024-12</v>
      </c>
      <c r="C706">
        <v>82.82</v>
      </c>
      <c r="D706">
        <v>221.22</v>
      </c>
    </row>
    <row r="707" spans="1:4" x14ac:dyDescent="0.2">
      <c r="A707" s="1">
        <v>45632</v>
      </c>
      <c r="B707" s="1" t="str">
        <f>_xlfn.CONCAT(YEAR(int_data[[#This Row],[date]]),"-",MONTH(int_data[[#This Row],[date]]))</f>
        <v>2024-12</v>
      </c>
      <c r="C707">
        <v>82.02</v>
      </c>
      <c r="D707">
        <v>230.47</v>
      </c>
    </row>
    <row r="708" spans="1:4" x14ac:dyDescent="0.2">
      <c r="A708" s="1">
        <v>45633</v>
      </c>
      <c r="B708" s="1" t="str">
        <f>_xlfn.CONCAT(YEAR(int_data[[#This Row],[date]]),"-",MONTH(int_data[[#This Row],[date]]))</f>
        <v>2024-12</v>
      </c>
      <c r="C708">
        <v>81.486666666666693</v>
      </c>
      <c r="D708">
        <v>230.78</v>
      </c>
    </row>
    <row r="709" spans="1:4" x14ac:dyDescent="0.2">
      <c r="A709" s="1">
        <v>45634</v>
      </c>
      <c r="B709" s="1" t="str">
        <f>_xlfn.CONCAT(YEAR(int_data[[#This Row],[date]]),"-",MONTH(int_data[[#This Row],[date]]))</f>
        <v>2024-12</v>
      </c>
      <c r="C709">
        <v>80.953333333333305</v>
      </c>
      <c r="D709">
        <v>231.09</v>
      </c>
    </row>
    <row r="710" spans="1:4" x14ac:dyDescent="0.2">
      <c r="A710" s="1">
        <v>45635</v>
      </c>
      <c r="B710" s="1" t="str">
        <f>_xlfn.CONCAT(YEAR(int_data[[#This Row],[date]]),"-",MONTH(int_data[[#This Row],[date]]))</f>
        <v>2024-12</v>
      </c>
      <c r="C710">
        <v>80.42</v>
      </c>
      <c r="D710">
        <v>231.4</v>
      </c>
    </row>
    <row r="711" spans="1:4" x14ac:dyDescent="0.2">
      <c r="A711" s="1">
        <v>45636</v>
      </c>
      <c r="B711" s="1" t="str">
        <f>_xlfn.CONCAT(YEAR(int_data[[#This Row],[date]]),"-",MONTH(int_data[[#This Row],[date]]))</f>
        <v>2024-12</v>
      </c>
      <c r="C711">
        <v>80.87</v>
      </c>
      <c r="D711">
        <v>238.34</v>
      </c>
    </row>
    <row r="712" spans="1:4" x14ac:dyDescent="0.2">
      <c r="A712" s="1">
        <v>45637</v>
      </c>
      <c r="B712" s="1" t="str">
        <f>_xlfn.CONCAT(YEAR(int_data[[#This Row],[date]]),"-",MONTH(int_data[[#This Row],[date]]))</f>
        <v>2024-12</v>
      </c>
      <c r="C712">
        <v>80.83</v>
      </c>
      <c r="D712">
        <v>237.42</v>
      </c>
    </row>
    <row r="713" spans="1:4" x14ac:dyDescent="0.2">
      <c r="A713" s="1">
        <v>45638</v>
      </c>
      <c r="B713" s="1" t="str">
        <f>_xlfn.CONCAT(YEAR(int_data[[#This Row],[date]]),"-",MONTH(int_data[[#This Row],[date]]))</f>
        <v>2024-12</v>
      </c>
      <c r="C713">
        <v>80.87</v>
      </c>
      <c r="D713">
        <v>233.25</v>
      </c>
    </row>
    <row r="714" spans="1:4" x14ac:dyDescent="0.2">
      <c r="A714" s="1">
        <v>45639</v>
      </c>
      <c r="B714" s="1" t="str">
        <f>_xlfn.CONCAT(YEAR(int_data[[#This Row],[date]]),"-",MONTH(int_data[[#This Row],[date]]))</f>
        <v>2024-12</v>
      </c>
      <c r="C714">
        <v>81.58</v>
      </c>
      <c r="D714">
        <v>230.01</v>
      </c>
    </row>
    <row r="715" spans="1:4" x14ac:dyDescent="0.2">
      <c r="A715" s="1">
        <v>45640</v>
      </c>
      <c r="B715" s="1" t="str">
        <f>_xlfn.CONCAT(YEAR(int_data[[#This Row],[date]]),"-",MONTH(int_data[[#This Row],[date]]))</f>
        <v>2024-12</v>
      </c>
      <c r="C715">
        <v>82.01</v>
      </c>
      <c r="D715">
        <v>229.856666666667</v>
      </c>
    </row>
    <row r="716" spans="1:4" x14ac:dyDescent="0.2">
      <c r="A716" s="1">
        <v>45641</v>
      </c>
      <c r="B716" s="1" t="str">
        <f>_xlfn.CONCAT(YEAR(int_data[[#This Row],[date]]),"-",MONTH(int_data[[#This Row],[date]]))</f>
        <v>2024-12</v>
      </c>
      <c r="C716">
        <v>82.44</v>
      </c>
      <c r="D716">
        <v>229.70333333333301</v>
      </c>
    </row>
    <row r="717" spans="1:4" x14ac:dyDescent="0.2">
      <c r="A717" s="1">
        <v>45642</v>
      </c>
      <c r="B717" s="1" t="str">
        <f>_xlfn.CONCAT(YEAR(int_data[[#This Row],[date]]),"-",MONTH(int_data[[#This Row],[date]]))</f>
        <v>2024-12</v>
      </c>
      <c r="C717">
        <v>82.87</v>
      </c>
      <c r="D717">
        <v>229.55</v>
      </c>
    </row>
    <row r="718" spans="1:4" x14ac:dyDescent="0.2">
      <c r="A718" s="1">
        <v>45643</v>
      </c>
      <c r="B718" s="1" t="str">
        <f>_xlfn.CONCAT(YEAR(int_data[[#This Row],[date]]),"-",MONTH(int_data[[#This Row],[date]]))</f>
        <v>2024-12</v>
      </c>
      <c r="C718">
        <v>79.87</v>
      </c>
      <c r="D718">
        <v>220.29</v>
      </c>
    </row>
    <row r="719" spans="1:4" x14ac:dyDescent="0.2">
      <c r="A719" s="1">
        <v>45644</v>
      </c>
      <c r="B719" s="1" t="str">
        <f>_xlfn.CONCAT(YEAR(int_data[[#This Row],[date]]),"-",MONTH(int_data[[#This Row],[date]]))</f>
        <v>2024-12</v>
      </c>
      <c r="C719">
        <v>80.87</v>
      </c>
      <c r="D719">
        <v>224.92</v>
      </c>
    </row>
    <row r="720" spans="1:4" x14ac:dyDescent="0.2">
      <c r="A720" s="1">
        <v>45645</v>
      </c>
      <c r="B720" s="1" t="str">
        <f>_xlfn.CONCAT(YEAR(int_data[[#This Row],[date]]),"-",MONTH(int_data[[#This Row],[date]]))</f>
        <v>2024-12</v>
      </c>
      <c r="C720">
        <v>80.069999999999993</v>
      </c>
      <c r="D720">
        <v>224.92</v>
      </c>
    </row>
    <row r="721" spans="1:4" x14ac:dyDescent="0.2">
      <c r="A721" s="1">
        <v>45646</v>
      </c>
      <c r="B721" s="1" t="str">
        <f>_xlfn.CONCAT(YEAR(int_data[[#This Row],[date]]),"-",MONTH(int_data[[#This Row],[date]]))</f>
        <v>2024-12</v>
      </c>
      <c r="C721">
        <v>78.73</v>
      </c>
      <c r="D721">
        <v>233.71</v>
      </c>
    </row>
    <row r="722" spans="1:4" x14ac:dyDescent="0.2">
      <c r="A722" s="1">
        <v>45647</v>
      </c>
      <c r="B722" s="1" t="str">
        <f>_xlfn.CONCAT(YEAR(int_data[[#This Row],[date]]),"-",MONTH(int_data[[#This Row],[date]]))</f>
        <v>2024-12</v>
      </c>
      <c r="C722">
        <v>78.91</v>
      </c>
      <c r="D722">
        <v>230.78</v>
      </c>
    </row>
    <row r="723" spans="1:4" x14ac:dyDescent="0.2">
      <c r="A723" s="1">
        <v>45648</v>
      </c>
      <c r="B723" s="1" t="str">
        <f>_xlfn.CONCAT(YEAR(int_data[[#This Row],[date]]),"-",MONTH(int_data[[#This Row],[date]]))</f>
        <v>2024-12</v>
      </c>
      <c r="C723">
        <v>79.09</v>
      </c>
      <c r="D723">
        <v>227.85</v>
      </c>
    </row>
    <row r="724" spans="1:4" x14ac:dyDescent="0.2">
      <c r="A724" s="1">
        <v>45649</v>
      </c>
      <c r="B724" s="1" t="str">
        <f>_xlfn.CONCAT(YEAR(int_data[[#This Row],[date]]),"-",MONTH(int_data[[#This Row],[date]]))</f>
        <v>2024-12</v>
      </c>
      <c r="C724">
        <v>79.27</v>
      </c>
      <c r="D724">
        <v>224.92</v>
      </c>
    </row>
    <row r="725" spans="1:4" x14ac:dyDescent="0.2">
      <c r="A725" s="1">
        <v>45650</v>
      </c>
      <c r="B725" s="1" t="str">
        <f>_xlfn.CONCAT(YEAR(int_data[[#This Row],[date]]),"-",MONTH(int_data[[#This Row],[date]]))</f>
        <v>2024-12</v>
      </c>
      <c r="C725">
        <v>79.137500000000003</v>
      </c>
      <c r="D725">
        <v>224.80500000000001</v>
      </c>
    </row>
    <row r="726" spans="1:4" x14ac:dyDescent="0.2">
      <c r="A726" s="1">
        <v>45651</v>
      </c>
      <c r="B726" s="1" t="str">
        <f>_xlfn.CONCAT(YEAR(int_data[[#This Row],[date]]),"-",MONTH(int_data[[#This Row],[date]]))</f>
        <v>2024-12</v>
      </c>
      <c r="C726">
        <v>79.004999999999995</v>
      </c>
      <c r="D726">
        <v>224.69</v>
      </c>
    </row>
    <row r="727" spans="1:4" x14ac:dyDescent="0.2">
      <c r="A727" s="1">
        <v>45652</v>
      </c>
      <c r="B727" s="1" t="str">
        <f>_xlfn.CONCAT(YEAR(int_data[[#This Row],[date]]),"-",MONTH(int_data[[#This Row],[date]]))</f>
        <v>2024-12</v>
      </c>
      <c r="C727">
        <v>78.872500000000002</v>
      </c>
      <c r="D727">
        <v>224.57499999999999</v>
      </c>
    </row>
    <row r="728" spans="1:4" x14ac:dyDescent="0.2">
      <c r="A728" s="1">
        <v>45653</v>
      </c>
      <c r="B728" s="1" t="str">
        <f>_xlfn.CONCAT(YEAR(int_data[[#This Row],[date]]),"-",MONTH(int_data[[#This Row],[date]]))</f>
        <v>2024-12</v>
      </c>
      <c r="C728">
        <v>78.739999999999995</v>
      </c>
      <c r="D728">
        <v>224.46</v>
      </c>
    </row>
    <row r="729" spans="1:4" x14ac:dyDescent="0.2">
      <c r="A729" s="1">
        <v>45654</v>
      </c>
      <c r="B729" s="1" t="str">
        <f>_xlfn.CONCAT(YEAR(int_data[[#This Row],[date]]),"-",MONTH(int_data[[#This Row],[date]]))</f>
        <v>2024-12</v>
      </c>
      <c r="C729">
        <v>78.536666666666704</v>
      </c>
      <c r="D729">
        <v>224.15</v>
      </c>
    </row>
    <row r="730" spans="1:4" x14ac:dyDescent="0.2">
      <c r="A730" s="1">
        <v>45655</v>
      </c>
      <c r="B730" s="1" t="str">
        <f>_xlfn.CONCAT(YEAR(int_data[[#This Row],[date]]),"-",MONTH(int_data[[#This Row],[date]]))</f>
        <v>2024-12</v>
      </c>
      <c r="C730">
        <v>78.3333333333333</v>
      </c>
      <c r="D730">
        <v>223.84</v>
      </c>
    </row>
    <row r="731" spans="1:4" x14ac:dyDescent="0.2">
      <c r="A731" s="1">
        <v>45656</v>
      </c>
      <c r="B731" s="1" t="str">
        <f>_xlfn.CONCAT(YEAR(int_data[[#This Row],[date]]),"-",MONTH(int_data[[#This Row],[date]]))</f>
        <v>2024-12</v>
      </c>
      <c r="C731">
        <v>78.13</v>
      </c>
      <c r="D731">
        <v>223.53</v>
      </c>
    </row>
    <row r="732" spans="1:4" x14ac:dyDescent="0.2">
      <c r="A732" s="1">
        <v>45657</v>
      </c>
      <c r="B732" s="1" t="str">
        <f>_xlfn.CONCAT(YEAR(int_data[[#This Row],[date]]),"-",MONTH(int_data[[#This Row],[date]]))</f>
        <v>2024-12</v>
      </c>
      <c r="C732">
        <v>78.13</v>
      </c>
      <c r="D732">
        <v>223.53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7349F-F2B1-4E47-8811-692758FC0103}">
  <dimension ref="A1:C25"/>
  <sheetViews>
    <sheetView tabSelected="1" workbookViewId="0">
      <selection activeCell="D16" sqref="D16"/>
    </sheetView>
  </sheetViews>
  <sheetFormatPr baseColWidth="10" defaultRowHeight="16" x14ac:dyDescent="0.2"/>
  <cols>
    <col min="1" max="1" width="11" customWidth="1"/>
  </cols>
  <sheetData>
    <row r="1" spans="1:3" x14ac:dyDescent="0.2">
      <c r="A1" t="s">
        <v>0</v>
      </c>
      <c r="B1" t="s">
        <v>29</v>
      </c>
      <c r="C1" t="s">
        <v>3</v>
      </c>
    </row>
    <row r="2" spans="1:3" x14ac:dyDescent="0.2">
      <c r="A2" t="s">
        <v>4</v>
      </c>
      <c r="B2" s="3">
        <f>AVERAGEIF(int_data!B:B,alior[[#This Row],[date]],int_data!C:C)</f>
        <v>34.880000000000017</v>
      </c>
      <c r="C2" s="2"/>
    </row>
    <row r="3" spans="1:3" x14ac:dyDescent="0.2">
      <c r="A3" t="s">
        <v>5</v>
      </c>
      <c r="B3" s="3">
        <f>AVERAGEIF(int_data!B:B,alior[[#This Row],[date]],int_data!C:C)</f>
        <v>34.542499999999997</v>
      </c>
      <c r="C3" s="2">
        <f>(alior[[#This Row],[average]]-B2)/B2</f>
        <v>-9.6760321100923096E-3</v>
      </c>
    </row>
    <row r="4" spans="1:3" x14ac:dyDescent="0.2">
      <c r="A4" t="s">
        <v>6</v>
      </c>
      <c r="B4" s="3">
        <f>AVERAGEIF(int_data!B:B,alior[[#This Row],[date]],int_data!C:C)</f>
        <v>33.43741935483871</v>
      </c>
      <c r="C4" s="2">
        <f>(alior[[#This Row],[average]]-B3)/B3</f>
        <v>-3.1991912720888388E-2</v>
      </c>
    </row>
    <row r="5" spans="1:3" x14ac:dyDescent="0.2">
      <c r="A5" t="s">
        <v>7</v>
      </c>
      <c r="B5" s="3">
        <f>AVERAGEIF(int_data!B:B,alior[[#This Row],[date]],int_data!C:C)</f>
        <v>37.778833333333338</v>
      </c>
      <c r="C5" s="2">
        <f>(alior[[#This Row],[average]]-B4)/B4</f>
        <v>0.12983699287386499</v>
      </c>
    </row>
    <row r="6" spans="1:3" x14ac:dyDescent="0.2">
      <c r="A6" t="s">
        <v>8</v>
      </c>
      <c r="B6" s="3">
        <f>AVERAGEIF(int_data!B:B,alior[[#This Row],[date]],int_data!C:C)</f>
        <v>39.18</v>
      </c>
      <c r="C6" s="2">
        <f>(alior[[#This Row],[average]]-B5)/B5</f>
        <v>3.7088669581290964E-2</v>
      </c>
    </row>
    <row r="7" spans="1:3" x14ac:dyDescent="0.2">
      <c r="A7" t="s">
        <v>9</v>
      </c>
      <c r="B7" s="3">
        <f>AVERAGEIF(int_data!B:B,alior[[#This Row],[date]],int_data!C:C)</f>
        <v>46.840499999999992</v>
      </c>
      <c r="C7" s="2">
        <f>(alior[[#This Row],[average]]-B6)/B6</f>
        <v>0.19552067381316979</v>
      </c>
    </row>
    <row r="8" spans="1:3" x14ac:dyDescent="0.2">
      <c r="A8" t="s">
        <v>10</v>
      </c>
      <c r="B8" s="3">
        <f>AVERAGEIF(int_data!B:B,alior[[#This Row],[date]],int_data!C:C)</f>
        <v>48.563548387096766</v>
      </c>
      <c r="C8" s="2">
        <f>(alior[[#This Row],[average]]-B7)/B7</f>
        <v>3.6785439674998664E-2</v>
      </c>
    </row>
    <row r="9" spans="1:3" x14ac:dyDescent="0.2">
      <c r="A9" t="s">
        <v>11</v>
      </c>
      <c r="B9" s="3">
        <f>AVERAGEIF(int_data!B:B,alior[[#This Row],[date]],int_data!C:C)</f>
        <v>44.755161290322583</v>
      </c>
      <c r="C9" s="2">
        <f>(alior[[#This Row],[average]]-B8)/B8</f>
        <v>-7.8420692541199558E-2</v>
      </c>
    </row>
    <row r="10" spans="1:3" x14ac:dyDescent="0.2">
      <c r="A10" t="s">
        <v>12</v>
      </c>
      <c r="B10" s="3">
        <f>AVERAGEIF(int_data!B:B,alior[[#This Row],[date]],int_data!C:C)</f>
        <v>56.79066666666666</v>
      </c>
      <c r="C10" s="2">
        <f>(alior[[#This Row],[average]]-B9)/B9</f>
        <v>0.26891882476460915</v>
      </c>
    </row>
    <row r="11" spans="1:3" x14ac:dyDescent="0.2">
      <c r="A11" t="s">
        <v>13</v>
      </c>
      <c r="B11" s="3">
        <f>AVERAGEIF(int_data!B:B,alior[[#This Row],[date]],int_data!C:C)</f>
        <v>65.765483870967742</v>
      </c>
      <c r="C11" s="2">
        <f>(alior[[#This Row],[average]]-B10)/B10</f>
        <v>0.15803331306143761</v>
      </c>
    </row>
    <row r="12" spans="1:3" x14ac:dyDescent="0.2">
      <c r="A12" t="s">
        <v>14</v>
      </c>
      <c r="B12" s="3">
        <f>AVERAGEIF(int_data!B:B,alior[[#This Row],[date]],int_data!C:C)</f>
        <v>63.627333333333347</v>
      </c>
      <c r="C12" s="2">
        <f>(alior[[#This Row],[average]]-B11)/B11</f>
        <v>-3.2511743421966742E-2</v>
      </c>
    </row>
    <row r="13" spans="1:3" x14ac:dyDescent="0.2">
      <c r="A13" t="s">
        <v>15</v>
      </c>
      <c r="B13" s="3">
        <f>AVERAGEIF(int_data!B:B,alior[[#This Row],[date]],int_data!C:C)</f>
        <v>71.68290322580647</v>
      </c>
      <c r="C13" s="2">
        <f>(alior[[#This Row],[average]]-B12)/B12</f>
        <v>0.12660549280403266</v>
      </c>
    </row>
    <row r="14" spans="1:3" x14ac:dyDescent="0.2">
      <c r="A14" t="s">
        <v>16</v>
      </c>
      <c r="B14" s="3">
        <f>AVERAGEIF(int_data!B:B,alior[[#This Row],[date]],int_data!C:C)</f>
        <v>83.703387096774193</v>
      </c>
      <c r="C14" s="2">
        <f>(alior[[#This Row],[average]]-B13)/B13</f>
        <v>0.16768969070773132</v>
      </c>
    </row>
    <row r="15" spans="1:3" x14ac:dyDescent="0.2">
      <c r="A15" t="s">
        <v>17</v>
      </c>
      <c r="B15" s="3">
        <f>AVERAGEIF(int_data!B:B,alior[[#This Row],[date]],int_data!C:C)</f>
        <v>88.960069413345252</v>
      </c>
      <c r="C15" s="2">
        <f>(alior[[#This Row],[average]]-B14)/B14</f>
        <v>6.280130946784164E-2</v>
      </c>
    </row>
    <row r="16" spans="1:3" x14ac:dyDescent="0.2">
      <c r="A16" t="s">
        <v>18</v>
      </c>
      <c r="B16" s="3">
        <f>AVERAGEIF(int_data!B:B,alior[[#This Row],[date]],int_data!C:C)</f>
        <v>87.389220779220778</v>
      </c>
      <c r="C16" s="2">
        <f>(alior[[#This Row],[average]]-B15)/B15</f>
        <v>-1.7657907019222992E-2</v>
      </c>
    </row>
    <row r="17" spans="1:3" x14ac:dyDescent="0.2">
      <c r="A17" t="s">
        <v>19</v>
      </c>
      <c r="B17" s="3">
        <f>AVERAGEIF(int_data!B:B,alior[[#This Row],[date]],int_data!C:C)</f>
        <v>87.908116883116875</v>
      </c>
      <c r="C17" s="2">
        <f>(alior[[#This Row],[average]]-B16)/B16</f>
        <v>5.9377586762906446E-3</v>
      </c>
    </row>
    <row r="18" spans="1:3" x14ac:dyDescent="0.2">
      <c r="A18" t="s">
        <v>20</v>
      </c>
      <c r="B18" s="3">
        <f>AVERAGEIF(int_data!B:B,alior[[#This Row],[date]],int_data!C:C)</f>
        <v>87.351891495601194</v>
      </c>
      <c r="C18" s="2">
        <f>(alior[[#This Row],[average]]-B17)/B17</f>
        <v>-6.3273495922480253E-3</v>
      </c>
    </row>
    <row r="19" spans="1:3" x14ac:dyDescent="0.2">
      <c r="A19" t="s">
        <v>21</v>
      </c>
      <c r="B19" s="3">
        <f>AVERAGEIF(int_data!B:B,alior[[#This Row],[date]],int_data!C:C)</f>
        <v>86.733333333333348</v>
      </c>
      <c r="C19" s="2">
        <f>(alior[[#This Row],[average]]-B18)/B18</f>
        <v>-7.0812223029995229E-3</v>
      </c>
    </row>
    <row r="20" spans="1:3" x14ac:dyDescent="0.2">
      <c r="A20" t="s">
        <v>22</v>
      </c>
      <c r="B20" s="3">
        <f>AVERAGEIF(int_data!B:B,alior[[#This Row],[date]],int_data!C:C)</f>
        <v>89.889354838709693</v>
      </c>
      <c r="C20" s="2">
        <f>(alior[[#This Row],[average]]-B19)/B19</f>
        <v>3.6387642260296046E-2</v>
      </c>
    </row>
    <row r="21" spans="1:3" x14ac:dyDescent="0.2">
      <c r="A21" t="s">
        <v>23</v>
      </c>
      <c r="B21" s="3">
        <f>AVERAGEIF(int_data!B:B,alior[[#This Row],[date]],int_data!C:C)</f>
        <v>88.233172043010754</v>
      </c>
      <c r="C21" s="2">
        <f>(alior[[#This Row],[average]]-B20)/B20</f>
        <v>-1.8424682195913651E-2</v>
      </c>
    </row>
    <row r="22" spans="1:3" x14ac:dyDescent="0.2">
      <c r="A22" t="s">
        <v>24</v>
      </c>
      <c r="B22" s="3">
        <f>AVERAGEIF(int_data!B:B,alior[[#This Row],[date]],int_data!C:C)</f>
        <v>86.327888888888921</v>
      </c>
      <c r="C22" s="2">
        <f>(alior[[#This Row],[average]]-B21)/B21</f>
        <v>-2.1593728413085614E-2</v>
      </c>
    </row>
    <row r="23" spans="1:3" x14ac:dyDescent="0.2">
      <c r="A23" t="s">
        <v>25</v>
      </c>
      <c r="B23" s="3">
        <f>AVERAGEIF(int_data!B:B,alior[[#This Row],[date]],int_data!C:C)</f>
        <v>83.033870967741976</v>
      </c>
      <c r="C23" s="2">
        <f>(alior[[#This Row],[average]]-B22)/B22</f>
        <v>-3.8157054035997763E-2</v>
      </c>
    </row>
    <row r="24" spans="1:3" x14ac:dyDescent="0.2">
      <c r="A24" t="s">
        <v>26</v>
      </c>
      <c r="B24" s="3">
        <f>AVERAGEIF(int_data!B:B,alior[[#This Row],[date]],int_data!C:C)</f>
        <v>82.670222222222222</v>
      </c>
      <c r="C24" s="2">
        <f>(alior[[#This Row],[average]]-B23)/B23</f>
        <v>-4.3795229739563585E-3</v>
      </c>
    </row>
    <row r="25" spans="1:3" x14ac:dyDescent="0.2">
      <c r="A25" t="s">
        <v>27</v>
      </c>
      <c r="B25" s="3">
        <f>AVERAGEIF(int_data!B:B,alior[[#This Row],[date]],int_data!C:C)</f>
        <v>80.552849462365586</v>
      </c>
      <c r="C25" s="2">
        <f>(alior[[#This Row],[average]]-B24)/B24</f>
        <v>-2.5612278556177318E-2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92EE9-E5E3-8747-8B3A-83C74234FFDF}">
  <dimension ref="A1:C25"/>
  <sheetViews>
    <sheetView workbookViewId="0">
      <selection activeCell="B2" sqref="B2"/>
    </sheetView>
  </sheetViews>
  <sheetFormatPr baseColWidth="10" defaultRowHeight="16" x14ac:dyDescent="0.2"/>
  <cols>
    <col min="1" max="1" width="11" customWidth="1"/>
  </cols>
  <sheetData>
    <row r="1" spans="1:3" x14ac:dyDescent="0.2">
      <c r="A1" t="s">
        <v>0</v>
      </c>
      <c r="B1" t="s">
        <v>29</v>
      </c>
      <c r="C1" t="s">
        <v>3</v>
      </c>
    </row>
    <row r="2" spans="1:3" x14ac:dyDescent="0.2">
      <c r="A2" t="s">
        <v>4</v>
      </c>
      <c r="B2" s="3">
        <f>AVERAGEIF(int_data!B:B,ing[[#This Row],[date]],int_data!D:D)</f>
        <v>145.51741935483875</v>
      </c>
      <c r="C2" s="2"/>
    </row>
    <row r="3" spans="1:3" x14ac:dyDescent="0.2">
      <c r="A3" t="s">
        <v>5</v>
      </c>
      <c r="B3" s="3">
        <f>AVERAGEIF(int_data!B:B,ing[[#This Row],[date]],int_data!D:D)</f>
        <v>141.82678571428571</v>
      </c>
      <c r="C3" s="2">
        <f>(ing[[#This Row],[average]]-B2)/B2</f>
        <v>-2.5362143287832602E-2</v>
      </c>
    </row>
    <row r="4" spans="1:3" x14ac:dyDescent="0.2">
      <c r="A4" t="s">
        <v>6</v>
      </c>
      <c r="B4" s="3">
        <f>AVERAGEIF(int_data!B:B,ing[[#This Row],[date]],int_data!D:D)</f>
        <v>136.56774193548389</v>
      </c>
      <c r="C4" s="2">
        <f>(ing[[#This Row],[average]]-B3)/B3</f>
        <v>-3.7080751370875117E-2</v>
      </c>
    </row>
    <row r="5" spans="1:3" x14ac:dyDescent="0.2">
      <c r="A5" t="s">
        <v>7</v>
      </c>
      <c r="B5" s="3">
        <f>AVERAGEIF(int_data!B:B,ing[[#This Row],[date]],int_data!D:D)</f>
        <v>138.63083333333336</v>
      </c>
      <c r="C5" s="2">
        <f>(ing[[#This Row],[average]]-B4)/B4</f>
        <v>1.5106725560594602E-2</v>
      </c>
    </row>
    <row r="6" spans="1:3" x14ac:dyDescent="0.2">
      <c r="A6" t="s">
        <v>8</v>
      </c>
      <c r="B6" s="3">
        <f>AVERAGEIF(int_data!B:B,ing[[#This Row],[date]],int_data!D:D)</f>
        <v>144.50612903225803</v>
      </c>
      <c r="C6" s="2">
        <f>(ing[[#This Row],[average]]-B5)/B5</f>
        <v>4.2380872693722579E-2</v>
      </c>
    </row>
    <row r="7" spans="1:3" x14ac:dyDescent="0.2">
      <c r="A7" t="s">
        <v>9</v>
      </c>
      <c r="B7" s="3">
        <f>AVERAGEIF(int_data!B:B,ing[[#This Row],[date]],int_data!D:D)</f>
        <v>162.77583333333328</v>
      </c>
      <c r="C7" s="2">
        <f>(ing[[#This Row],[average]]-B6)/B6</f>
        <v>0.12642857727506432</v>
      </c>
    </row>
    <row r="8" spans="1:3" x14ac:dyDescent="0.2">
      <c r="A8" t="s">
        <v>10</v>
      </c>
      <c r="B8" s="3">
        <f>AVERAGEIF(int_data!B:B,ing[[#This Row],[date]],int_data!D:D)</f>
        <v>162.07951612903227</v>
      </c>
      <c r="C8" s="2">
        <f>(ing[[#This Row],[average]]-B7)/B7</f>
        <v>-4.2777677130676275E-3</v>
      </c>
    </row>
    <row r="9" spans="1:3" x14ac:dyDescent="0.2">
      <c r="A9" t="s">
        <v>11</v>
      </c>
      <c r="B9" s="3">
        <f>AVERAGEIF(int_data!B:B,ing[[#This Row],[date]],int_data!D:D)</f>
        <v>155.48064516129034</v>
      </c>
      <c r="C9" s="2">
        <f>(ing[[#This Row],[average]]-B8)/B8</f>
        <v>-4.0713787438065516E-2</v>
      </c>
    </row>
    <row r="10" spans="1:3" x14ac:dyDescent="0.2">
      <c r="A10" t="s">
        <v>12</v>
      </c>
      <c r="B10" s="3">
        <f>AVERAGEIF(int_data!B:B,ing[[#This Row],[date]],int_data!D:D)</f>
        <v>180.89950000000002</v>
      </c>
      <c r="C10" s="2">
        <f>(ing[[#This Row],[average]]-B9)/B9</f>
        <v>0.1634856532293201</v>
      </c>
    </row>
    <row r="11" spans="1:3" x14ac:dyDescent="0.2">
      <c r="A11" t="s">
        <v>13</v>
      </c>
      <c r="B11" s="3">
        <f>AVERAGEIF(int_data!B:B,ing[[#This Row],[date]],int_data!D:D)</f>
        <v>211.65258064516129</v>
      </c>
      <c r="C11" s="2">
        <f>(ing[[#This Row],[average]]-B10)/B10</f>
        <v>0.17000091567506417</v>
      </c>
    </row>
    <row r="12" spans="1:3" x14ac:dyDescent="0.2">
      <c r="A12" t="s">
        <v>14</v>
      </c>
      <c r="B12" s="3">
        <f>AVERAGEIF(int_data!B:B,ing[[#This Row],[date]],int_data!D:D)</f>
        <v>213.6346666666667</v>
      </c>
      <c r="C12" s="2">
        <f>(ing[[#This Row],[average]]-B11)/B11</f>
        <v>9.3648091389370129E-3</v>
      </c>
    </row>
    <row r="13" spans="1:3" x14ac:dyDescent="0.2">
      <c r="A13" t="s">
        <v>15</v>
      </c>
      <c r="B13" s="3">
        <f>AVERAGEIF(int_data!B:B,ing[[#This Row],[date]],int_data!D:D)</f>
        <v>240.31016129032264</v>
      </c>
      <c r="C13" s="2">
        <f>(ing[[#This Row],[average]]-B12)/B12</f>
        <v>0.1248650092228599</v>
      </c>
    </row>
    <row r="14" spans="1:3" x14ac:dyDescent="0.2">
      <c r="A14" t="s">
        <v>16</v>
      </c>
      <c r="B14" s="3">
        <f>AVERAGEIF(int_data!B:B,ing[[#This Row],[date]],int_data!D:D)</f>
        <v>272.00370967741935</v>
      </c>
      <c r="C14" s="2">
        <f>(ing[[#This Row],[average]]-B13)/B13</f>
        <v>0.13188601021663507</v>
      </c>
    </row>
    <row r="15" spans="1:3" x14ac:dyDescent="0.2">
      <c r="A15" t="s">
        <v>17</v>
      </c>
      <c r="B15" s="3">
        <f>AVERAGEIF(int_data!B:B,ing[[#This Row],[date]],int_data!D:D)</f>
        <v>284.81165696372597</v>
      </c>
      <c r="C15" s="2">
        <f>(ing[[#This Row],[average]]-B14)/B14</f>
        <v>4.7087399291340912E-2</v>
      </c>
    </row>
    <row r="16" spans="1:3" x14ac:dyDescent="0.2">
      <c r="A16" t="s">
        <v>18</v>
      </c>
      <c r="B16" s="3">
        <f>AVERAGEIF(int_data!B:B,ing[[#This Row],[date]],int_data!D:D)</f>
        <v>273.35688311688313</v>
      </c>
      <c r="C16" s="2">
        <f>(ing[[#This Row],[average]]-B15)/B15</f>
        <v>-4.021876761983003E-2</v>
      </c>
    </row>
    <row r="17" spans="1:3" x14ac:dyDescent="0.2">
      <c r="A17" t="s">
        <v>19</v>
      </c>
      <c r="B17" s="3">
        <f>AVERAGEIF(int_data!B:B,ing[[#This Row],[date]],int_data!D:D)</f>
        <v>273.90746753246748</v>
      </c>
      <c r="C17" s="2">
        <f>(ing[[#This Row],[average]]-B16)/B16</f>
        <v>2.0141596922910922E-3</v>
      </c>
    </row>
    <row r="18" spans="1:3" x14ac:dyDescent="0.2">
      <c r="A18" t="s">
        <v>20</v>
      </c>
      <c r="B18" s="3">
        <f>AVERAGEIF(int_data!B:B,ing[[#This Row],[date]],int_data!D:D)</f>
        <v>272.97466275659826</v>
      </c>
      <c r="C18" s="2">
        <f>(ing[[#This Row],[average]]-B17)/B17</f>
        <v>-3.405547078626637E-3</v>
      </c>
    </row>
    <row r="19" spans="1:3" x14ac:dyDescent="0.2">
      <c r="A19" t="s">
        <v>21</v>
      </c>
      <c r="B19" s="3">
        <f>AVERAGEIF(int_data!B:B,ing[[#This Row],[date]],int_data!D:D)</f>
        <v>269.74866666666674</v>
      </c>
      <c r="C19" s="2">
        <f>(ing[[#This Row],[average]]-B18)/B18</f>
        <v>-1.1817932321462497E-2</v>
      </c>
    </row>
    <row r="20" spans="1:3" x14ac:dyDescent="0.2">
      <c r="A20" t="s">
        <v>22</v>
      </c>
      <c r="B20" s="3">
        <f>AVERAGEIF(int_data!B:B,ing[[#This Row],[date]],int_data!D:D)</f>
        <v>274.27516129032261</v>
      </c>
      <c r="C20" s="2">
        <f>(ing[[#This Row],[average]]-B19)/B19</f>
        <v>1.6780415190149389E-2</v>
      </c>
    </row>
    <row r="21" spans="1:3" x14ac:dyDescent="0.2">
      <c r="A21" t="s">
        <v>23</v>
      </c>
      <c r="B21" s="3">
        <f>AVERAGEIF(int_data!B:B,ing[[#This Row],[date]],int_data!D:D)</f>
        <v>251.47817204301069</v>
      </c>
      <c r="C21" s="2">
        <f>(ing[[#This Row],[average]]-B20)/B20</f>
        <v>-8.3117221187889917E-2</v>
      </c>
    </row>
    <row r="22" spans="1:3" x14ac:dyDescent="0.2">
      <c r="A22" t="s">
        <v>24</v>
      </c>
      <c r="B22" s="3">
        <f>AVERAGEIF(int_data!B:B,ing[[#This Row],[date]],int_data!D:D)</f>
        <v>242.25855555555557</v>
      </c>
      <c r="C22" s="2">
        <f>(ing[[#This Row],[average]]-B21)/B21</f>
        <v>-3.6661696768967557E-2</v>
      </c>
    </row>
    <row r="23" spans="1:3" x14ac:dyDescent="0.2">
      <c r="A23" t="s">
        <v>25</v>
      </c>
      <c r="B23" s="3">
        <f>AVERAGEIF(int_data!B:B,ing[[#This Row],[date]],int_data!D:D)</f>
        <v>241.40193548387094</v>
      </c>
      <c r="C23" s="2">
        <f>(ing[[#This Row],[average]]-B22)/B22</f>
        <v>-3.5359744869286483E-3</v>
      </c>
    </row>
    <row r="24" spans="1:3" x14ac:dyDescent="0.2">
      <c r="A24" t="s">
        <v>26</v>
      </c>
      <c r="B24" s="3">
        <f>AVERAGEIF(int_data!B:B,ing[[#This Row],[date]],int_data!D:D)</f>
        <v>227.96649999999997</v>
      </c>
      <c r="C24" s="2">
        <f>(ing[[#This Row],[average]]-B23)/B23</f>
        <v>-5.5655873085444472E-2</v>
      </c>
    </row>
    <row r="25" spans="1:3" x14ac:dyDescent="0.2">
      <c r="A25" t="s">
        <v>27</v>
      </c>
      <c r="B25" s="3">
        <f>AVERAGEIF(int_data!B:B,ing[[#This Row],[date]],int_data!D:D)</f>
        <v>226.98774193548383</v>
      </c>
      <c r="C25" s="2">
        <f>(ing[[#This Row],[average]]-B24)/B24</f>
        <v>-4.2934293614024111E-3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B28372-C112-E043-BE71-E0B2380C8C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int_data</vt:lpstr>
      <vt:lpstr>alior</vt:lpstr>
      <vt:lpstr>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Faltynowski</dc:creator>
  <cp:lastModifiedBy>Daniel Faltynowski</cp:lastModifiedBy>
  <dcterms:created xsi:type="dcterms:W3CDTF">2025-08-26T13:55:25Z</dcterms:created>
  <dcterms:modified xsi:type="dcterms:W3CDTF">2025-08-26T14:45:43Z</dcterms:modified>
</cp:coreProperties>
</file>