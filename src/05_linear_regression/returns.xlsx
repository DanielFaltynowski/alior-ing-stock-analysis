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faltynowski/Documents/Repositories/alior-ing-stock-analysis/src/05_linear_regression/"/>
    </mc:Choice>
  </mc:AlternateContent>
  <xr:revisionPtr revIDLastSave="0" documentId="13_ncr:1_{0FB386D6-B38C-BB40-8145-19EB9B47F1A7}" xr6:coauthVersionLast="47" xr6:coauthVersionMax="47" xr10:uidLastSave="{00000000-0000-0000-0000-000000000000}"/>
  <bookViews>
    <workbookView xWindow="380" yWindow="500" windowWidth="28040" windowHeight="15940" xr2:uid="{E2203D31-5785-544E-82D9-DA2FC4C2342D}"/>
  </bookViews>
  <sheets>
    <sheet name="int_data" sheetId="2" r:id="rId1"/>
  </sheets>
  <definedNames>
    <definedName name="ExternalData_1" localSheetId="0" hidden="1">int_data!$A$1:$E$732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F573D4-6DAF-1148-9414-892CF1817BAF}" keepAlive="1" name="Query - int_data" description="Connection to the 'int_data' query in the workbook." type="5" refreshedVersion="8" background="1" saveData="1">
    <dbPr connection="Provider=Microsoft.Mashup.OleDb.1;Data Source=$Workbook$;Location=int_data;Extended Properties=&quot;&quot;" command="SELECT * FROM [int_data]"/>
  </connection>
</connections>
</file>

<file path=xl/sharedStrings.xml><?xml version="1.0" encoding="utf-8"?>
<sst xmlns="http://schemas.openxmlformats.org/spreadsheetml/2006/main" count="7" uniqueCount="7">
  <si>
    <t>date</t>
  </si>
  <si>
    <t>closes_alior</t>
  </si>
  <si>
    <t>closes_ing</t>
  </si>
  <si>
    <t>daily_returns_alior</t>
  </si>
  <si>
    <t>daily_returns_ing</t>
  </si>
  <si>
    <t>daily_log_returns_alior</t>
  </si>
  <si>
    <t>daily_log_returns_ing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</si>
</sst>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C81A0C-4A88-9348-9092-356BF40235CD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date" tableColumnId="1"/>
      <queryTableField id="2" name="closes_alior" tableColumnId="2"/>
      <queryTableField id="4" dataBound="0" tableColumnId="4"/>
      <queryTableField id="6" dataBound="0" tableColumnId="6"/>
      <queryTableField id="3" name="closes_ing" tableColumnId="3"/>
      <queryTableField id="5" dataBound="0" tableColumnId="5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583D0-9AB1-9B43-8109-8F56AA6AC55B}" name="int_data" displayName="int_data" ref="A1:G732" tableType="queryTable" totalsRowShown="0">
  <autoFilter ref="A1:G732" xr:uid="{360583D0-9AB1-9B43-8109-8F56AA6AC55B}"/>
  <tableColumns count="7">
    <tableColumn id="1" xr3:uid="{DA876952-2661-A048-A0D3-AFE0806D2F82}" uniqueName="1" name="date" queryTableFieldId="1" dataDxfId="3"/>
    <tableColumn id="2" xr3:uid="{766A240D-30D8-FF45-8DC3-EF1EF16E95A7}" uniqueName="2" name="closes_alior" queryTableFieldId="2"/>
    <tableColumn id="4" xr3:uid="{83F349BD-E475-CB4A-BF6D-86F76C2F24EE}" uniqueName="4" name="daily_returns_alior" queryTableFieldId="4" dataDxfId="2"/>
    <tableColumn id="6" xr3:uid="{05E17F04-039F-AB40-B31E-7C88289F3C05}" uniqueName="6" name="daily_log_returns_alior" queryTableFieldId="6" dataDxfId="1"/>
    <tableColumn id="3" xr3:uid="{EEAC302C-31B3-2C43-B260-902BD035EC1A}" uniqueName="3" name="closes_ing" queryTableFieldId="3"/>
    <tableColumn id="5" xr3:uid="{F8249E9C-1BEB-3146-A367-F0A65B922582}" uniqueName="5" name="daily_returns_ing" queryTableFieldId="5"/>
    <tableColumn id="7" xr3:uid="{3D88CEAA-CC9F-C24D-A53C-519D3984481D}" uniqueName="7" name="daily_log_returns_ing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4455-5C9F-994D-BF9C-681B52063A55}">
  <dimension ref="A1:G732"/>
  <sheetViews>
    <sheetView tabSelected="1" workbookViewId="0">
      <selection activeCell="J11" sqref="J11"/>
    </sheetView>
  </sheetViews>
  <sheetFormatPr baseColWidth="10" defaultRowHeight="16" x14ac:dyDescent="0.2"/>
  <cols>
    <col min="1" max="1" width="10.5" bestFit="1" customWidth="1"/>
    <col min="2" max="2" width="13.6640625" bestFit="1" customWidth="1"/>
    <col min="3" max="3" width="19" style="2" bestFit="1" customWidth="1"/>
    <col min="4" max="4" width="22.33203125" style="2" bestFit="1" customWidth="1"/>
    <col min="5" max="5" width="12.5" bestFit="1" customWidth="1"/>
    <col min="6" max="6" width="17.6640625" bestFit="1" customWidth="1"/>
    <col min="7" max="7" width="21.1640625" style="2" bestFit="1" customWidth="1"/>
  </cols>
  <sheetData>
    <row r="1" spans="1:7" x14ac:dyDescent="0.2">
      <c r="A1" t="s">
        <v>0</v>
      </c>
      <c r="B1" t="s">
        <v>1</v>
      </c>
      <c r="C1" s="2" t="s">
        <v>3</v>
      </c>
      <c r="D1" s="2" t="s">
        <v>5</v>
      </c>
      <c r="E1" t="s">
        <v>2</v>
      </c>
      <c r="F1" t="s">
        <v>4</v>
      </c>
      <c r="G1" s="2" t="s">
        <v>6</v>
      </c>
    </row>
    <row r="2" spans="1:7" x14ac:dyDescent="0.2">
      <c r="A2" s="1">
        <v>44927</v>
      </c>
      <c r="B2">
        <v>30.16</v>
      </c>
      <c r="E2">
        <v>137.35</v>
      </c>
    </row>
    <row r="3" spans="1:7" x14ac:dyDescent="0.2">
      <c r="A3" s="1">
        <v>44928</v>
      </c>
      <c r="B3">
        <v>30.16</v>
      </c>
      <c r="C3" s="2">
        <f>(int_data[[#This Row],[closes_alior]]-B2)/B2</f>
        <v>0</v>
      </c>
      <c r="D3" s="2">
        <f>LN(int_data[[#This Row],[closes_alior]]/B2)</f>
        <v>0</v>
      </c>
      <c r="E3">
        <v>137.35</v>
      </c>
      <c r="F3" s="2">
        <f>(int_data[[#This Row],[closes_ing]]-E2)/E2</f>
        <v>0</v>
      </c>
      <c r="G3" s="2">
        <f>LN(int_data[[#This Row],[closes_ing]]/E2)</f>
        <v>0</v>
      </c>
    </row>
    <row r="4" spans="1:7" x14ac:dyDescent="0.2">
      <c r="A4" s="1">
        <v>44929</v>
      </c>
      <c r="B4">
        <v>33.369999999999997</v>
      </c>
      <c r="C4" s="2">
        <f>(int_data[[#This Row],[closes_alior]]-B3)/B3</f>
        <v>0.10643236074270548</v>
      </c>
      <c r="D4" s="2">
        <f>LN(int_data[[#This Row],[closes_alior]]/B3)</f>
        <v>0.10114074962352732</v>
      </c>
      <c r="E4">
        <v>142.71</v>
      </c>
      <c r="F4" s="2">
        <f>(int_data[[#This Row],[closes_ing]]-E3)/E3</f>
        <v>3.9024390243902543E-2</v>
      </c>
      <c r="G4" s="2">
        <f>LN(int_data[[#This Row],[closes_ing]]/E3)</f>
        <v>3.8282186571016966E-2</v>
      </c>
    </row>
    <row r="5" spans="1:7" x14ac:dyDescent="0.2">
      <c r="A5" s="1">
        <v>44930</v>
      </c>
      <c r="B5">
        <v>35.68</v>
      </c>
      <c r="C5" s="2">
        <f>(int_data[[#This Row],[closes_alior]]-B4)/B4</f>
        <v>6.9223853760863124E-2</v>
      </c>
      <c r="D5" s="2">
        <f>LN(int_data[[#This Row],[closes_alior]]/B4)</f>
        <v>6.6933014948526076E-2</v>
      </c>
      <c r="E5">
        <v>148.06</v>
      </c>
      <c r="F5" s="2">
        <f>(int_data[[#This Row],[closes_ing]]-E4)/E4</f>
        <v>3.7488613271669781E-2</v>
      </c>
      <c r="G5" s="2">
        <f>LN(int_data[[#This Row],[closes_ing]]/E4)</f>
        <v>3.6802997902652519E-2</v>
      </c>
    </row>
    <row r="6" spans="1:7" x14ac:dyDescent="0.2">
      <c r="A6" s="1">
        <v>44931</v>
      </c>
      <c r="B6">
        <v>36.270000000000003</v>
      </c>
      <c r="C6" s="2">
        <f>(int_data[[#This Row],[closes_alior]]-B5)/B5</f>
        <v>1.653587443946198E-2</v>
      </c>
      <c r="D6" s="2">
        <f>LN(int_data[[#This Row],[closes_alior]]/B5)</f>
        <v>1.6400645583002402E-2</v>
      </c>
      <c r="E6">
        <v>149.22999999999999</v>
      </c>
      <c r="F6" s="2">
        <f>(int_data[[#This Row],[closes_ing]]-E5)/E5</f>
        <v>7.9022018100769111E-3</v>
      </c>
      <c r="G6" s="2">
        <f>LN(int_data[[#This Row],[closes_ing]]/E5)</f>
        <v>7.8711429284242865E-3</v>
      </c>
    </row>
    <row r="7" spans="1:7" x14ac:dyDescent="0.2">
      <c r="A7" s="1">
        <v>44932</v>
      </c>
      <c r="B7">
        <v>37.340000000000003</v>
      </c>
      <c r="C7" s="2">
        <f>(int_data[[#This Row],[closes_alior]]-B6)/B6</f>
        <v>2.9500964984835957E-2</v>
      </c>
      <c r="D7" s="2">
        <f>LN(int_data[[#This Row],[closes_alior]]/B6)</f>
        <v>2.9074184818765506E-2</v>
      </c>
      <c r="E7">
        <v>152.74</v>
      </c>
      <c r="F7" s="2">
        <f>(int_data[[#This Row],[closes_ing]]-E6)/E6</f>
        <v>2.3520739797627956E-2</v>
      </c>
      <c r="G7" s="2">
        <f>LN(int_data[[#This Row],[closes_ing]]/E6)</f>
        <v>2.3248389516861645E-2</v>
      </c>
    </row>
    <row r="8" spans="1:7" x14ac:dyDescent="0.2">
      <c r="A8" s="1">
        <v>44933</v>
      </c>
      <c r="B8">
        <v>37.799999999999997</v>
      </c>
      <c r="C8" s="2">
        <f>(int_data[[#This Row],[closes_alior]]-B7)/B7</f>
        <v>1.231922870915891E-2</v>
      </c>
      <c r="D8" s="2">
        <f>LN(int_data[[#This Row],[closes_alior]]/B7)</f>
        <v>1.2243964511965286E-2</v>
      </c>
      <c r="E8">
        <v>151.41</v>
      </c>
      <c r="F8" s="2">
        <f>(int_data[[#This Row],[closes_ing]]-E7)/E7</f>
        <v>-8.7076076993584679E-3</v>
      </c>
      <c r="G8" s="2">
        <f>LN(int_data[[#This Row],[closes_ing]]/E7)</f>
        <v>-8.7457404399574959E-3</v>
      </c>
    </row>
    <row r="9" spans="1:7" x14ac:dyDescent="0.2">
      <c r="A9" s="1">
        <v>44934</v>
      </c>
      <c r="B9">
        <v>37.03</v>
      </c>
      <c r="C9" s="2">
        <f>(int_data[[#This Row],[closes_alior]]-B8)/B8</f>
        <v>-2.0370370370370268E-2</v>
      </c>
      <c r="D9" s="2">
        <f>LN(int_data[[#This Row],[closes_alior]]/B8)</f>
        <v>-2.0580707700020573E-2</v>
      </c>
      <c r="E9">
        <v>150.57</v>
      </c>
      <c r="F9" s="2">
        <f>(int_data[[#This Row],[closes_ing]]-E8)/E8</f>
        <v>-5.5478502080444055E-3</v>
      </c>
      <c r="G9" s="2">
        <f>LN(int_data[[#This Row],[closes_ing]]/E8)</f>
        <v>-5.5632966853287153E-3</v>
      </c>
    </row>
    <row r="10" spans="1:7" x14ac:dyDescent="0.2">
      <c r="A10" s="1">
        <v>44935</v>
      </c>
      <c r="B10">
        <v>36.26</v>
      </c>
      <c r="C10" s="2">
        <f>(int_data[[#This Row],[closes_alior]]-B9)/B9</f>
        <v>-2.079395085066171E-2</v>
      </c>
      <c r="D10" s="2">
        <f>LN(int_data[[#This Row],[closes_alior]]/B9)</f>
        <v>-2.1013189598816411E-2</v>
      </c>
      <c r="E10">
        <v>149.72999999999999</v>
      </c>
      <c r="F10" s="2">
        <f>(int_data[[#This Row],[closes_ing]]-E9)/E9</f>
        <v>-5.578800557880079E-3</v>
      </c>
      <c r="G10" s="2">
        <f>LN(int_data[[#This Row],[closes_ing]]/E9)</f>
        <v>-5.5944201853244365E-3</v>
      </c>
    </row>
    <row r="11" spans="1:7" x14ac:dyDescent="0.2">
      <c r="A11" s="1">
        <v>44936</v>
      </c>
      <c r="B11">
        <v>36.869999999999997</v>
      </c>
      <c r="C11" s="2">
        <f>(int_data[[#This Row],[closes_alior]]-B10)/B10</f>
        <v>1.6822945394373953E-2</v>
      </c>
      <c r="D11" s="2">
        <f>LN(int_data[[#This Row],[closes_alior]]/B10)</f>
        <v>1.6683006919348195E-2</v>
      </c>
      <c r="E11">
        <v>152.24</v>
      </c>
      <c r="F11" s="2">
        <f>(int_data[[#This Row],[closes_ing]]-E10)/E10</f>
        <v>1.676350764709824E-2</v>
      </c>
      <c r="G11" s="2">
        <f>LN(int_data[[#This Row],[closes_ing]]/E10)</f>
        <v>1.6624550838266593E-2</v>
      </c>
    </row>
    <row r="12" spans="1:7" x14ac:dyDescent="0.2">
      <c r="A12" s="1">
        <v>44937</v>
      </c>
      <c r="B12">
        <v>36.729999999999997</v>
      </c>
      <c r="C12" s="2">
        <f>(int_data[[#This Row],[closes_alior]]-B11)/B11</f>
        <v>-3.797125033902918E-3</v>
      </c>
      <c r="D12" s="2">
        <f>LN(int_data[[#This Row],[closes_alior]]/B11)</f>
        <v>-3.8043524144772481E-3</v>
      </c>
      <c r="E12">
        <v>150.98500000000001</v>
      </c>
      <c r="F12" s="2">
        <f>(int_data[[#This Row],[closes_ing]]-E11)/E11</f>
        <v>-8.2435627955858865E-3</v>
      </c>
      <c r="G12" s="2">
        <f>LN(int_data[[#This Row],[closes_ing]]/E11)</f>
        <v>-8.2777288556349915E-3</v>
      </c>
    </row>
    <row r="13" spans="1:7" x14ac:dyDescent="0.2">
      <c r="A13" s="1">
        <v>44938</v>
      </c>
      <c r="B13">
        <v>36.590000000000003</v>
      </c>
      <c r="C13" s="2">
        <f>(int_data[[#This Row],[closes_alior]]-B12)/B12</f>
        <v>-3.8115981486521503E-3</v>
      </c>
      <c r="D13" s="2">
        <f>LN(int_data[[#This Row],[closes_alior]]/B12)</f>
        <v>-3.8188808004603453E-3</v>
      </c>
      <c r="E13">
        <v>149.72999999999999</v>
      </c>
      <c r="F13" s="2">
        <f>(int_data[[#This Row],[closes_ing]]-E12)/E12</f>
        <v>-8.3120839818526596E-3</v>
      </c>
      <c r="G13" s="2">
        <f>LN(int_data[[#This Row],[closes_ing]]/E12)</f>
        <v>-8.3468219826316713E-3</v>
      </c>
    </row>
    <row r="14" spans="1:7" x14ac:dyDescent="0.2">
      <c r="A14" s="1">
        <v>44939</v>
      </c>
      <c r="B14">
        <v>36.89</v>
      </c>
      <c r="C14" s="2">
        <f>(int_data[[#This Row],[closes_alior]]-B13)/B13</f>
        <v>8.1989614648810358E-3</v>
      </c>
      <c r="D14" s="2">
        <f>LN(int_data[[#This Row],[closes_alior]]/B13)</f>
        <v>8.1655325774686784E-3</v>
      </c>
      <c r="E14">
        <v>150.4</v>
      </c>
      <c r="F14" s="2">
        <f>(int_data[[#This Row],[closes_ing]]-E13)/E13</f>
        <v>4.4747211647633471E-3</v>
      </c>
      <c r="G14" s="2">
        <f>LN(int_data[[#This Row],[closes_ing]]/E13)</f>
        <v>4.4647393661119729E-3</v>
      </c>
    </row>
    <row r="15" spans="1:7" x14ac:dyDescent="0.2">
      <c r="A15" s="1">
        <v>44940</v>
      </c>
      <c r="B15">
        <v>36.700000000000003</v>
      </c>
      <c r="C15" s="2">
        <f>(int_data[[#This Row],[closes_alior]]-B14)/B14</f>
        <v>-5.1504472756844057E-3</v>
      </c>
      <c r="D15" s="2">
        <f>LN(int_data[[#This Row],[closes_alior]]/B14)</f>
        <v>-5.1637565480595745E-3</v>
      </c>
      <c r="E15">
        <v>147.97499999999999</v>
      </c>
      <c r="F15" s="2">
        <f>(int_data[[#This Row],[closes_ing]]-E14)/E14</f>
        <v>-1.6123670212766034E-2</v>
      </c>
      <c r="G15" s="2">
        <f>LN(int_data[[#This Row],[closes_ing]]/E14)</f>
        <v>-1.625507093895082E-2</v>
      </c>
    </row>
    <row r="16" spans="1:7" x14ac:dyDescent="0.2">
      <c r="A16" s="1">
        <v>44941</v>
      </c>
      <c r="B16">
        <v>36.51</v>
      </c>
      <c r="C16" s="2">
        <f>(int_data[[#This Row],[closes_alior]]-B15)/B15</f>
        <v>-5.1771117166213845E-3</v>
      </c>
      <c r="D16" s="2">
        <f>LN(int_data[[#This Row],[closes_alior]]/B15)</f>
        <v>-5.1905593929792238E-3</v>
      </c>
      <c r="E16">
        <v>145.55000000000001</v>
      </c>
      <c r="F16" s="2">
        <f>(int_data[[#This Row],[closes_ing]]-E15)/E15</f>
        <v>-1.6387903362054288E-2</v>
      </c>
      <c r="G16" s="2">
        <f>LN(int_data[[#This Row],[closes_ing]]/E15)</f>
        <v>-1.6523670385156414E-2</v>
      </c>
    </row>
    <row r="17" spans="1:7" x14ac:dyDescent="0.2">
      <c r="A17" s="1">
        <v>44942</v>
      </c>
      <c r="B17">
        <v>35.42</v>
      </c>
      <c r="C17" s="2">
        <f>(int_data[[#This Row],[closes_alior]]-B16)/B16</f>
        <v>-2.9854834291974702E-2</v>
      </c>
      <c r="D17" s="2">
        <f>LN(int_data[[#This Row],[closes_alior]]/B16)</f>
        <v>-3.0309563312857873E-2</v>
      </c>
      <c r="E17">
        <v>143.54</v>
      </c>
      <c r="F17" s="2">
        <f>(int_data[[#This Row],[closes_ing]]-E16)/E16</f>
        <v>-1.3809687392648706E-2</v>
      </c>
      <c r="G17" s="2">
        <f>LN(int_data[[#This Row],[closes_ing]]/E16)</f>
        <v>-1.3905928189706476E-2</v>
      </c>
    </row>
    <row r="18" spans="1:7" x14ac:dyDescent="0.2">
      <c r="A18" s="1">
        <v>44943</v>
      </c>
      <c r="B18">
        <v>34.56</v>
      </c>
      <c r="C18" s="2">
        <f>(int_data[[#This Row],[closes_alior]]-B17)/B17</f>
        <v>-2.4280067758328611E-2</v>
      </c>
      <c r="D18" s="2">
        <f>LN(int_data[[#This Row],[closes_alior]]/B17)</f>
        <v>-2.4579688418832565E-2</v>
      </c>
      <c r="E18">
        <v>141.03</v>
      </c>
      <c r="F18" s="2">
        <f>(int_data[[#This Row],[closes_ing]]-E17)/E17</f>
        <v>-1.7486414936602974E-2</v>
      </c>
      <c r="G18" s="2">
        <f>LN(int_data[[#This Row],[closes_ing]]/E17)</f>
        <v>-1.764110829777692E-2</v>
      </c>
    </row>
    <row r="19" spans="1:7" x14ac:dyDescent="0.2">
      <c r="A19" s="1">
        <v>44944</v>
      </c>
      <c r="B19">
        <v>35.22</v>
      </c>
      <c r="C19" s="2">
        <f>(int_data[[#This Row],[closes_alior]]-B18)/B18</f>
        <v>1.9097222222222123E-2</v>
      </c>
      <c r="D19" s="2">
        <f>LN(int_data[[#This Row],[closes_alior]]/B18)</f>
        <v>1.8917159132205087E-2</v>
      </c>
      <c r="E19">
        <v>143.21</v>
      </c>
      <c r="F19" s="2">
        <f>(int_data[[#This Row],[closes_ing]]-E18)/E18</f>
        <v>1.5457704034602615E-2</v>
      </c>
      <c r="G19" s="2">
        <f>LN(int_data[[#This Row],[closes_ing]]/E18)</f>
        <v>1.5339450786462445E-2</v>
      </c>
    </row>
    <row r="20" spans="1:7" x14ac:dyDescent="0.2">
      <c r="A20" s="1">
        <v>44945</v>
      </c>
      <c r="B20">
        <v>35.24</v>
      </c>
      <c r="C20" s="2">
        <f>(int_data[[#This Row],[closes_alior]]-B19)/B19</f>
        <v>5.6785917092569925E-4</v>
      </c>
      <c r="D20" s="2">
        <f>LN(int_data[[#This Row],[closes_alior]]/B19)</f>
        <v>5.6769799991878951E-4</v>
      </c>
      <c r="E20">
        <v>147.06</v>
      </c>
      <c r="F20" s="2">
        <f>(int_data[[#This Row],[closes_ing]]-E19)/E19</f>
        <v>2.6883597514140031E-2</v>
      </c>
      <c r="G20" s="2">
        <f>LN(int_data[[#This Row],[closes_ing]]/E19)</f>
        <v>2.6528582277464886E-2</v>
      </c>
    </row>
    <row r="21" spans="1:7" x14ac:dyDescent="0.2">
      <c r="A21" s="1">
        <v>44946</v>
      </c>
      <c r="B21">
        <v>35.04</v>
      </c>
      <c r="C21" s="2">
        <f>(int_data[[#This Row],[closes_alior]]-B20)/B20</f>
        <v>-5.6753688989785141E-3</v>
      </c>
      <c r="D21" s="2">
        <f>LN(int_data[[#This Row],[closes_alior]]/B20)</f>
        <v>-5.6915349997880968E-3</v>
      </c>
      <c r="E21">
        <v>146.05000000000001</v>
      </c>
      <c r="F21" s="2">
        <f>(int_data[[#This Row],[closes_ing]]-E20)/E20</f>
        <v>-6.8679450564394862E-3</v>
      </c>
      <c r="G21" s="2">
        <f>LN(int_data[[#This Row],[closes_ing]]/E20)</f>
        <v>-6.8916379343261945E-3</v>
      </c>
    </row>
    <row r="22" spans="1:7" x14ac:dyDescent="0.2">
      <c r="A22" s="1">
        <v>44947</v>
      </c>
      <c r="B22">
        <v>33.46</v>
      </c>
      <c r="C22" s="2">
        <f>(int_data[[#This Row],[closes_alior]]-B21)/B21</f>
        <v>-4.5091324200913198E-2</v>
      </c>
      <c r="D22" s="2">
        <f>LN(int_data[[#This Row],[closes_alior]]/B21)</f>
        <v>-4.6139570509512749E-2</v>
      </c>
      <c r="E22">
        <v>143.88</v>
      </c>
      <c r="F22" s="2">
        <f>(int_data[[#This Row],[closes_ing]]-E21)/E21</f>
        <v>-1.4857925368024757E-2</v>
      </c>
      <c r="G22" s="2">
        <f>LN(int_data[[#This Row],[closes_ing]]/E21)</f>
        <v>-1.4969410006326908E-2</v>
      </c>
    </row>
    <row r="23" spans="1:7" x14ac:dyDescent="0.2">
      <c r="A23" s="1">
        <v>44948</v>
      </c>
      <c r="B23">
        <v>33.594999999999999</v>
      </c>
      <c r="C23" s="2">
        <f>(int_data[[#This Row],[closes_alior]]-B22)/B22</f>
        <v>4.0346682606096232E-3</v>
      </c>
      <c r="D23" s="2">
        <f>LN(int_data[[#This Row],[closes_alior]]/B22)</f>
        <v>4.0265508134353012E-3</v>
      </c>
      <c r="E23">
        <v>143.46</v>
      </c>
      <c r="F23" s="2">
        <f>(int_data[[#This Row],[closes_ing]]-E22)/E22</f>
        <v>-2.9190992493743919E-3</v>
      </c>
      <c r="G23" s="2">
        <f>LN(int_data[[#This Row],[closes_ing]]/E22)</f>
        <v>-2.9233681291347346E-3</v>
      </c>
    </row>
    <row r="24" spans="1:7" x14ac:dyDescent="0.2">
      <c r="A24" s="1">
        <v>44949</v>
      </c>
      <c r="B24">
        <v>33.729999999999997</v>
      </c>
      <c r="C24" s="2">
        <f>(int_data[[#This Row],[closes_alior]]-B23)/B23</f>
        <v>4.0184551272510203E-3</v>
      </c>
      <c r="D24" s="2">
        <f>LN(int_data[[#This Row],[closes_alior]]/B23)</f>
        <v>4.0104027014455828E-3</v>
      </c>
      <c r="E24">
        <v>143.04</v>
      </c>
      <c r="F24" s="2">
        <f>(int_data[[#This Row],[closes_ing]]-E23)/E23</f>
        <v>-2.9276453366793246E-3</v>
      </c>
      <c r="G24" s="2">
        <f>LN(int_data[[#This Row],[closes_ing]]/E23)</f>
        <v>-2.9319392730844684E-3</v>
      </c>
    </row>
    <row r="25" spans="1:7" x14ac:dyDescent="0.2">
      <c r="A25" s="1">
        <v>44950</v>
      </c>
      <c r="B25">
        <v>33.729999999999997</v>
      </c>
      <c r="C25" s="2">
        <f>(int_data[[#This Row],[closes_alior]]-B24)/B24</f>
        <v>0</v>
      </c>
      <c r="D25" s="2">
        <f>LN(int_data[[#This Row],[closes_alior]]/B24)</f>
        <v>0</v>
      </c>
      <c r="E25">
        <v>143.71</v>
      </c>
      <c r="F25" s="2">
        <f>(int_data[[#This Row],[closes_ing]]-E24)/E24</f>
        <v>4.6840044742730421E-3</v>
      </c>
      <c r="G25" s="2">
        <f>LN(int_data[[#This Row],[closes_ing]]/E24)</f>
        <v>4.67306866095165E-3</v>
      </c>
    </row>
    <row r="26" spans="1:7" x14ac:dyDescent="0.2">
      <c r="A26" s="1">
        <v>44951</v>
      </c>
      <c r="B26">
        <v>32.975000000000001</v>
      </c>
      <c r="C26" s="2">
        <f>(int_data[[#This Row],[closes_alior]]-B25)/B25</f>
        <v>-2.238363474651632E-2</v>
      </c>
      <c r="D26" s="2">
        <f>LN(int_data[[#This Row],[closes_alior]]/B25)</f>
        <v>-2.2637950470180402E-2</v>
      </c>
      <c r="E26">
        <v>141.44999999999999</v>
      </c>
      <c r="F26" s="2">
        <f>(int_data[[#This Row],[closes_ing]]-E25)/E25</f>
        <v>-1.5726115092895548E-2</v>
      </c>
      <c r="G26" s="2">
        <f>LN(int_data[[#This Row],[closes_ing]]/E25)</f>
        <v>-1.5851082338579469E-2</v>
      </c>
    </row>
    <row r="27" spans="1:7" x14ac:dyDescent="0.2">
      <c r="A27" s="1">
        <v>44952</v>
      </c>
      <c r="B27">
        <v>32.22</v>
      </c>
      <c r="C27" s="2">
        <f>(int_data[[#This Row],[closes_alior]]-B26)/B26</f>
        <v>-2.2896133434420093E-2</v>
      </c>
      <c r="D27" s="2">
        <f>LN(int_data[[#This Row],[closes_alior]]/B26)</f>
        <v>-2.3162320854550059E-2</v>
      </c>
      <c r="E27">
        <v>139.19</v>
      </c>
      <c r="F27" s="2">
        <f>(int_data[[#This Row],[closes_ing]]-E26)/E26</f>
        <v>-1.5977377165075936E-2</v>
      </c>
      <c r="G27" s="2">
        <f>LN(int_data[[#This Row],[closes_ing]]/E26)</f>
        <v>-1.6106391508266989E-2</v>
      </c>
    </row>
    <row r="28" spans="1:7" x14ac:dyDescent="0.2">
      <c r="A28" s="1">
        <v>44953</v>
      </c>
      <c r="B28">
        <v>34.07</v>
      </c>
      <c r="C28" s="2">
        <f>(int_data[[#This Row],[closes_alior]]-B27)/B27</f>
        <v>5.7417752948479249E-2</v>
      </c>
      <c r="D28" s="2">
        <f>LN(int_data[[#This Row],[closes_alior]]/B27)</f>
        <v>5.5829853924046845E-2</v>
      </c>
      <c r="E28">
        <v>144.38</v>
      </c>
      <c r="F28" s="2">
        <f>(int_data[[#This Row],[closes_ing]]-E27)/E27</f>
        <v>3.7287161434011049E-2</v>
      </c>
      <c r="G28" s="2">
        <f>LN(int_data[[#This Row],[closes_ing]]/E27)</f>
        <v>3.6608806471705835E-2</v>
      </c>
    </row>
    <row r="29" spans="1:7" x14ac:dyDescent="0.2">
      <c r="A29" s="1">
        <v>44954</v>
      </c>
      <c r="B29">
        <v>34.119999999999997</v>
      </c>
      <c r="C29" s="2">
        <f>(int_data[[#This Row],[closes_alior]]-B28)/B28</f>
        <v>1.4675667742881466E-3</v>
      </c>
      <c r="D29" s="2">
        <f>LN(int_data[[#This Row],[closes_alior]]/B28)</f>
        <v>1.4664909506029954E-3</v>
      </c>
      <c r="E29">
        <v>144.55000000000001</v>
      </c>
      <c r="F29" s="2">
        <f>(int_data[[#This Row],[closes_ing]]-E28)/E28</f>
        <v>1.1774484000555195E-3</v>
      </c>
      <c r="G29" s="2">
        <f>LN(int_data[[#This Row],[closes_ing]]/E28)</f>
        <v>1.1767557513402166E-3</v>
      </c>
    </row>
    <row r="30" spans="1:7" x14ac:dyDescent="0.2">
      <c r="A30" s="1">
        <v>44955</v>
      </c>
      <c r="B30">
        <v>34.61</v>
      </c>
      <c r="C30" s="2">
        <f>(int_data[[#This Row],[closes_alior]]-B29)/B29</f>
        <v>1.4361078546307211E-2</v>
      </c>
      <c r="D30" s="2">
        <f>LN(int_data[[#This Row],[closes_alior]]/B29)</f>
        <v>1.4258935023774667E-2</v>
      </c>
      <c r="E30">
        <v>143.54</v>
      </c>
      <c r="F30" s="2">
        <f>(int_data[[#This Row],[closes_ing]]-E29)/E29</f>
        <v>-6.9872016603252799E-3</v>
      </c>
      <c r="G30" s="2">
        <f>LN(int_data[[#This Row],[closes_ing]]/E29)</f>
        <v>-7.0117264604293806E-3</v>
      </c>
    </row>
    <row r="31" spans="1:7" x14ac:dyDescent="0.2">
      <c r="A31" s="1">
        <v>44956</v>
      </c>
      <c r="B31">
        <v>34.94</v>
      </c>
      <c r="C31" s="2">
        <f>(int_data[[#This Row],[closes_alior]]-B30)/B30</f>
        <v>9.5348165270152645E-3</v>
      </c>
      <c r="D31" s="2">
        <f>LN(int_data[[#This Row],[closes_alior]]/B30)</f>
        <v>9.4896470586575757E-3</v>
      </c>
      <c r="E31">
        <v>144.55000000000001</v>
      </c>
      <c r="F31" s="2">
        <f>(int_data[[#This Row],[closes_ing]]-E30)/E30</f>
        <v>7.0363661697089271E-3</v>
      </c>
      <c r="G31" s="2">
        <f>LN(int_data[[#This Row],[closes_ing]]/E30)</f>
        <v>7.0117264604292601E-3</v>
      </c>
    </row>
    <row r="32" spans="1:7" x14ac:dyDescent="0.2">
      <c r="A32" s="1">
        <v>44957</v>
      </c>
      <c r="B32">
        <v>33.99</v>
      </c>
      <c r="C32" s="2">
        <f>(int_data[[#This Row],[closes_alior]]-B31)/B31</f>
        <v>-2.7189467658843613E-2</v>
      </c>
      <c r="D32" s="2">
        <f>LN(int_data[[#This Row],[closes_alior]]/B31)</f>
        <v>-2.7565940997885688E-2</v>
      </c>
      <c r="E32">
        <v>142.37</v>
      </c>
      <c r="F32" s="2">
        <f>(int_data[[#This Row],[closes_ing]]-E31)/E31</f>
        <v>-1.5081286751988977E-2</v>
      </c>
      <c r="G32" s="2">
        <f>LN(int_data[[#This Row],[closes_ing]]/E31)</f>
        <v>-1.5196165836700654E-2</v>
      </c>
    </row>
    <row r="33" spans="1:7" x14ac:dyDescent="0.2">
      <c r="A33" s="1">
        <v>44958</v>
      </c>
      <c r="B33">
        <v>33.979999999999997</v>
      </c>
      <c r="C33" s="2">
        <f>(int_data[[#This Row],[closes_alior]]-B32)/B32</f>
        <v>-2.9420417769947385E-4</v>
      </c>
      <c r="D33" s="2">
        <f>LN(int_data[[#This Row],[closes_alior]]/B32)</f>
        <v>-2.9424746423878075E-4</v>
      </c>
      <c r="E33">
        <v>140.87</v>
      </c>
      <c r="F33" s="2">
        <f>(int_data[[#This Row],[closes_ing]]-E32)/E32</f>
        <v>-1.0535927512818712E-2</v>
      </c>
      <c r="G33" s="2">
        <f>LN(int_data[[#This Row],[closes_ing]]/E32)</f>
        <v>-1.0591823353438966E-2</v>
      </c>
    </row>
    <row r="34" spans="1:7" x14ac:dyDescent="0.2">
      <c r="A34" s="1">
        <v>44959</v>
      </c>
      <c r="B34">
        <v>33.914999999999999</v>
      </c>
      <c r="C34" s="2">
        <f>(int_data[[#This Row],[closes_alior]]-B33)/B33</f>
        <v>-1.9128899352559663E-3</v>
      </c>
      <c r="D34" s="2">
        <f>LN(int_data[[#This Row],[closes_alior]]/B33)</f>
        <v>-1.9147218457430295E-3</v>
      </c>
      <c r="E34">
        <v>141.20500000000001</v>
      </c>
      <c r="F34" s="2">
        <f>(int_data[[#This Row],[closes_ing]]-E33)/E33</f>
        <v>2.3780790800028958E-3</v>
      </c>
      <c r="G34" s="2">
        <f>LN(int_data[[#This Row],[closes_ing]]/E33)</f>
        <v>2.3752559248525506E-3</v>
      </c>
    </row>
    <row r="35" spans="1:7" x14ac:dyDescent="0.2">
      <c r="A35" s="1">
        <v>44960</v>
      </c>
      <c r="B35">
        <v>33.85</v>
      </c>
      <c r="C35" s="2">
        <f>(int_data[[#This Row],[closes_alior]]-B34)/B34</f>
        <v>-1.9165560961225926E-3</v>
      </c>
      <c r="D35" s="2">
        <f>LN(int_data[[#This Row],[closes_alior]]/B34)</f>
        <v>-1.9183950397588234E-3</v>
      </c>
      <c r="E35">
        <v>141.54</v>
      </c>
      <c r="F35" s="2">
        <f>(int_data[[#This Row],[closes_ing]]-E34)/E34</f>
        <v>2.3724372366416167E-3</v>
      </c>
      <c r="G35" s="2">
        <f>LN(int_data[[#This Row],[closes_ing]]/E34)</f>
        <v>2.3696274505706117E-3</v>
      </c>
    </row>
    <row r="36" spans="1:7" x14ac:dyDescent="0.2">
      <c r="A36" s="1">
        <v>44961</v>
      </c>
      <c r="B36">
        <v>35.229999999999997</v>
      </c>
      <c r="C36" s="2">
        <f>(int_data[[#This Row],[closes_alior]]-B35)/B35</f>
        <v>4.0768094534711828E-2</v>
      </c>
      <c r="D36" s="2">
        <f>LN(int_data[[#This Row],[closes_alior]]/B35)</f>
        <v>3.9958992994862066E-2</v>
      </c>
      <c r="E36">
        <v>145.38</v>
      </c>
      <c r="F36" s="2">
        <f>(int_data[[#This Row],[closes_ing]]-E35)/E35</f>
        <v>2.7130139889783831E-2</v>
      </c>
      <c r="G36" s="2">
        <f>LN(int_data[[#This Row],[closes_ing]]/E35)</f>
        <v>2.6768641408850751E-2</v>
      </c>
    </row>
    <row r="37" spans="1:7" x14ac:dyDescent="0.2">
      <c r="A37" s="1">
        <v>44962</v>
      </c>
      <c r="B37">
        <v>34.51</v>
      </c>
      <c r="C37" s="2">
        <f>(int_data[[#This Row],[closes_alior]]-B36)/B36</f>
        <v>-2.0437127448197527E-2</v>
      </c>
      <c r="D37" s="2">
        <f>LN(int_data[[#This Row],[closes_alior]]/B36)</f>
        <v>-2.0648855243234142E-2</v>
      </c>
      <c r="E37">
        <v>144.38</v>
      </c>
      <c r="F37" s="2">
        <f>(int_data[[#This Row],[closes_ing]]-E36)/E36</f>
        <v>-6.8785252441876466E-3</v>
      </c>
      <c r="G37" s="2">
        <f>LN(int_data[[#This Row],[closes_ing]]/E36)</f>
        <v>-6.9022913454744022E-3</v>
      </c>
    </row>
    <row r="38" spans="1:7" x14ac:dyDescent="0.2">
      <c r="A38" s="1">
        <v>44963</v>
      </c>
      <c r="B38">
        <v>33.79</v>
      </c>
      <c r="C38" s="2">
        <f>(int_data[[#This Row],[closes_alior]]-B37)/B37</f>
        <v>-2.086351782092144E-2</v>
      </c>
      <c r="D38" s="2">
        <f>LN(int_data[[#This Row],[closes_alior]]/B37)</f>
        <v>-2.1084236383713432E-2</v>
      </c>
      <c r="E38">
        <v>143.38</v>
      </c>
      <c r="F38" s="2">
        <f>(int_data[[#This Row],[closes_ing]]-E37)/E37</f>
        <v>-6.926167059149467E-3</v>
      </c>
      <c r="G38" s="2">
        <f>LN(int_data[[#This Row],[closes_ing]]/E37)</f>
        <v>-6.9502642862888167E-3</v>
      </c>
    </row>
    <row r="39" spans="1:7" x14ac:dyDescent="0.2">
      <c r="A39" s="1">
        <v>44964</v>
      </c>
      <c r="B39">
        <v>33.729999999999997</v>
      </c>
      <c r="C39" s="2">
        <f>(int_data[[#This Row],[closes_alior]]-B38)/B38</f>
        <v>-1.7756732761172618E-3</v>
      </c>
      <c r="D39" s="2">
        <f>LN(int_data[[#This Row],[closes_alior]]/B38)</f>
        <v>-1.7772516526397815E-3</v>
      </c>
      <c r="E39">
        <v>138.36000000000001</v>
      </c>
      <c r="F39" s="2">
        <f>(int_data[[#This Row],[closes_ing]]-E38)/E38</f>
        <v>-3.5011856604826211E-2</v>
      </c>
      <c r="G39" s="2">
        <f>LN(int_data[[#This Row],[closes_ing]]/E38)</f>
        <v>-3.5639464355758065E-2</v>
      </c>
    </row>
    <row r="40" spans="1:7" x14ac:dyDescent="0.2">
      <c r="A40" s="1">
        <v>44965</v>
      </c>
      <c r="B40">
        <v>34.22</v>
      </c>
      <c r="C40" s="2">
        <f>(int_data[[#This Row],[closes_alior]]-B39)/B39</f>
        <v>1.4527127186480937E-2</v>
      </c>
      <c r="D40" s="2">
        <f>LN(int_data[[#This Row],[closes_alior]]/B39)</f>
        <v>1.4422619390488525E-2</v>
      </c>
      <c r="E40">
        <v>139.86000000000001</v>
      </c>
      <c r="F40" s="2">
        <f>(int_data[[#This Row],[closes_ing]]-E39)/E39</f>
        <v>1.0841283607979185E-2</v>
      </c>
      <c r="G40" s="2">
        <f>LN(int_data[[#This Row],[closes_ing]]/E39)</f>
        <v>1.0782938206752813E-2</v>
      </c>
    </row>
    <row r="41" spans="1:7" x14ac:dyDescent="0.2">
      <c r="A41" s="1">
        <v>44966</v>
      </c>
      <c r="B41">
        <v>34.35</v>
      </c>
      <c r="C41" s="2">
        <f>(int_data[[#This Row],[closes_alior]]-B40)/B40</f>
        <v>3.7989479836353758E-3</v>
      </c>
      <c r="D41" s="2">
        <f>LN(int_data[[#This Row],[closes_alior]]/B40)</f>
        <v>3.7917502043109631E-3</v>
      </c>
      <c r="E41">
        <v>140.53</v>
      </c>
      <c r="F41" s="2">
        <f>(int_data[[#This Row],[closes_ing]]-E40)/E40</f>
        <v>4.7905047905047009E-3</v>
      </c>
      <c r="G41" s="2">
        <f>LN(int_data[[#This Row],[closes_ing]]/E40)</f>
        <v>4.7790668369328913E-3</v>
      </c>
    </row>
    <row r="42" spans="1:7" x14ac:dyDescent="0.2">
      <c r="A42" s="1">
        <v>44967</v>
      </c>
      <c r="B42">
        <v>35.47</v>
      </c>
      <c r="C42" s="2">
        <f>(int_data[[#This Row],[closes_alior]]-B41)/B41</f>
        <v>3.2605531295487551E-2</v>
      </c>
      <c r="D42" s="2">
        <f>LN(int_data[[#This Row],[closes_alior]]/B41)</f>
        <v>3.2085250117172087E-2</v>
      </c>
      <c r="E42">
        <v>143.88</v>
      </c>
      <c r="F42" s="2">
        <f>(int_data[[#This Row],[closes_ing]]-E41)/E41</f>
        <v>2.3838326336013623E-2</v>
      </c>
      <c r="G42" s="2">
        <f>LN(int_data[[#This Row],[closes_ing]]/E41)</f>
        <v>2.3558629714769453E-2</v>
      </c>
    </row>
    <row r="43" spans="1:7" x14ac:dyDescent="0.2">
      <c r="A43" s="1">
        <v>44968</v>
      </c>
      <c r="B43">
        <v>34.630000000000003</v>
      </c>
      <c r="C43" s="2">
        <f>(int_data[[#This Row],[closes_alior]]-B42)/B42</f>
        <v>-2.3681984775866825E-2</v>
      </c>
      <c r="D43" s="2">
        <f>LN(int_data[[#This Row],[closes_alior]]/B42)</f>
        <v>-2.3966910371199742E-2</v>
      </c>
      <c r="E43">
        <v>141.19999999999999</v>
      </c>
      <c r="F43" s="2">
        <f>(int_data[[#This Row],[closes_ing]]-E42)/E42</f>
        <v>-1.8626633305532436E-2</v>
      </c>
      <c r="G43" s="2">
        <f>LN(int_data[[#This Row],[closes_ing]]/E42)</f>
        <v>-1.8802293768281478E-2</v>
      </c>
    </row>
    <row r="44" spans="1:7" x14ac:dyDescent="0.2">
      <c r="A44" s="1">
        <v>44969</v>
      </c>
      <c r="B44">
        <v>34.299999999999997</v>
      </c>
      <c r="C44" s="2">
        <f>(int_data[[#This Row],[closes_alior]]-B43)/B43</f>
        <v>-9.5293098469536631E-3</v>
      </c>
      <c r="D44" s="2">
        <f>LN(int_data[[#This Row],[closes_alior]]/B43)</f>
        <v>-9.5750042424365151E-3</v>
      </c>
      <c r="E44">
        <v>140.19999999999999</v>
      </c>
      <c r="F44" s="2">
        <f>(int_data[[#This Row],[closes_ing]]-E43)/E43</f>
        <v>-7.0821529745042503E-3</v>
      </c>
      <c r="G44" s="2">
        <f>LN(int_data[[#This Row],[closes_ing]]/E43)</f>
        <v>-7.1073504586519447E-3</v>
      </c>
    </row>
    <row r="45" spans="1:7" x14ac:dyDescent="0.2">
      <c r="A45" s="1">
        <v>44970</v>
      </c>
      <c r="B45">
        <v>34.1</v>
      </c>
      <c r="C45" s="2">
        <f>(int_data[[#This Row],[closes_alior]]-B44)/B44</f>
        <v>-5.8309037900873394E-3</v>
      </c>
      <c r="D45" s="2">
        <f>LN(int_data[[#This Row],[closes_alior]]/B44)</f>
        <v>-5.8479698824229886E-3</v>
      </c>
      <c r="E45">
        <v>140.11500000000001</v>
      </c>
      <c r="F45" s="2">
        <f>(int_data[[#This Row],[closes_ing]]-E44)/E44</f>
        <v>-6.0627674750342038E-4</v>
      </c>
      <c r="G45" s="2">
        <f>LN(int_data[[#This Row],[closes_ing]]/E44)</f>
        <v>-6.0646060756789006E-4</v>
      </c>
    </row>
    <row r="46" spans="1:7" x14ac:dyDescent="0.2">
      <c r="A46" s="1">
        <v>44971</v>
      </c>
      <c r="B46">
        <v>33.9</v>
      </c>
      <c r="C46" s="2">
        <f>(int_data[[#This Row],[closes_alior]]-B45)/B45</f>
        <v>-5.8651026392962709E-3</v>
      </c>
      <c r="D46" s="2">
        <f>LN(int_data[[#This Row],[closes_alior]]/B45)</f>
        <v>-5.8823699030666364E-3</v>
      </c>
      <c r="E46">
        <v>140.03</v>
      </c>
      <c r="F46" s="2">
        <f>(int_data[[#This Row],[closes_ing]]-E45)/E45</f>
        <v>-6.0664454198342758E-4</v>
      </c>
      <c r="G46" s="2">
        <f>LN(int_data[[#This Row],[closes_ing]]/E45)</f>
        <v>-6.0682862523610531E-4</v>
      </c>
    </row>
    <row r="47" spans="1:7" x14ac:dyDescent="0.2">
      <c r="A47" s="1">
        <v>44972</v>
      </c>
      <c r="B47">
        <v>33.47</v>
      </c>
      <c r="C47" s="2">
        <f>(int_data[[#This Row],[closes_alior]]-B46)/B46</f>
        <v>-1.2684365781710907E-2</v>
      </c>
      <c r="D47" s="2">
        <f>LN(int_data[[#This Row],[closes_alior]]/B46)</f>
        <v>-1.276549916316937E-2</v>
      </c>
      <c r="E47">
        <v>136.52000000000001</v>
      </c>
      <c r="F47" s="2">
        <f>(int_data[[#This Row],[closes_ing]]-E46)/E46</f>
        <v>-2.5066057273441342E-2</v>
      </c>
      <c r="G47" s="2">
        <f>LN(int_data[[#This Row],[closes_ing]]/E46)</f>
        <v>-2.5385561329179351E-2</v>
      </c>
    </row>
    <row r="48" spans="1:7" x14ac:dyDescent="0.2">
      <c r="A48" s="1">
        <v>44973</v>
      </c>
      <c r="B48">
        <v>33.715000000000003</v>
      </c>
      <c r="C48" s="2">
        <f>(int_data[[#This Row],[closes_alior]]-B47)/B47</f>
        <v>7.3199880489992399E-3</v>
      </c>
      <c r="D48" s="2">
        <f>LN(int_data[[#This Row],[closes_alior]]/B47)</f>
        <v>7.2933269633100577E-3</v>
      </c>
      <c r="E48">
        <v>137.77500000000001</v>
      </c>
      <c r="F48" s="2">
        <f>(int_data[[#This Row],[closes_ing]]-E47)/E47</f>
        <v>9.1927922648695828E-3</v>
      </c>
      <c r="G48" s="2">
        <f>LN(int_data[[#This Row],[closes_ing]]/E47)</f>
        <v>9.1507957307927074E-3</v>
      </c>
    </row>
    <row r="49" spans="1:7" x14ac:dyDescent="0.2">
      <c r="A49" s="1">
        <v>44974</v>
      </c>
      <c r="B49">
        <v>33.96</v>
      </c>
      <c r="C49" s="2">
        <f>(int_data[[#This Row],[closes_alior]]-B48)/B48</f>
        <v>7.2667951950169778E-3</v>
      </c>
      <c r="D49" s="2">
        <f>LN(int_data[[#This Row],[closes_alior]]/B48)</f>
        <v>7.2405192566011864E-3</v>
      </c>
      <c r="E49">
        <v>139.03</v>
      </c>
      <c r="F49" s="2">
        <f>(int_data[[#This Row],[closes_ing]]-E48)/E48</f>
        <v>9.1090546180366203E-3</v>
      </c>
      <c r="G49" s="2">
        <f>LN(int_data[[#This Row],[closes_ing]]/E48)</f>
        <v>9.0678174121528298E-3</v>
      </c>
    </row>
    <row r="50" spans="1:7" x14ac:dyDescent="0.2">
      <c r="A50" s="1">
        <v>44975</v>
      </c>
      <c r="B50">
        <v>34.53</v>
      </c>
      <c r="C50" s="2">
        <f>(int_data[[#This Row],[closes_alior]]-B49)/B49</f>
        <v>1.6784452296819796E-2</v>
      </c>
      <c r="D50" s="2">
        <f>LN(int_data[[#This Row],[closes_alior]]/B49)</f>
        <v>1.66451499587543E-2</v>
      </c>
      <c r="E50">
        <v>138.86000000000001</v>
      </c>
      <c r="F50" s="2">
        <f>(int_data[[#This Row],[closes_ing]]-E49)/E49</f>
        <v>-1.22275767819886E-3</v>
      </c>
      <c r="G50" s="2">
        <f>LN(int_data[[#This Row],[closes_ing]]/E49)</f>
        <v>-1.2235058563245869E-3</v>
      </c>
    </row>
    <row r="51" spans="1:7" x14ac:dyDescent="0.2">
      <c r="A51" s="1">
        <v>44976</v>
      </c>
      <c r="B51">
        <v>34.61</v>
      </c>
      <c r="C51" s="2">
        <f>(int_data[[#This Row],[closes_alior]]-B50)/B50</f>
        <v>2.3168259484505731E-3</v>
      </c>
      <c r="D51" s="2">
        <f>LN(int_data[[#This Row],[closes_alior]]/B50)</f>
        <v>2.3141462453518018E-3</v>
      </c>
      <c r="E51">
        <v>140.69999999999999</v>
      </c>
      <c r="F51" s="2">
        <f>(int_data[[#This Row],[closes_ing]]-E50)/E50</f>
        <v>1.3250756157280533E-2</v>
      </c>
      <c r="G51" s="2">
        <f>LN(int_data[[#This Row],[closes_ing]]/E50)</f>
        <v>1.3163732795215892E-2</v>
      </c>
    </row>
    <row r="52" spans="1:7" x14ac:dyDescent="0.2">
      <c r="A52" s="1">
        <v>44977</v>
      </c>
      <c r="B52">
        <v>35.299999999999997</v>
      </c>
      <c r="C52" s="2">
        <f>(int_data[[#This Row],[closes_alior]]-B51)/B51</f>
        <v>1.9936434556486499E-2</v>
      </c>
      <c r="D52" s="2">
        <f>LN(int_data[[#This Row],[closes_alior]]/B51)</f>
        <v>1.9740306291998161E-2</v>
      </c>
      <c r="E52">
        <v>142.87</v>
      </c>
      <c r="F52" s="2">
        <f>(int_data[[#This Row],[closes_ing]]-E51)/E51</f>
        <v>1.5422885572139418E-2</v>
      </c>
      <c r="G52" s="2">
        <f>LN(int_data[[#This Row],[closes_ing]]/E51)</f>
        <v>1.5305161756723498E-2</v>
      </c>
    </row>
    <row r="53" spans="1:7" x14ac:dyDescent="0.2">
      <c r="A53" s="1">
        <v>44978</v>
      </c>
      <c r="B53">
        <v>34.99</v>
      </c>
      <c r="C53" s="2">
        <f>(int_data[[#This Row],[closes_alior]]-B52)/B52</f>
        <v>-8.7818696883851331E-3</v>
      </c>
      <c r="D53" s="2">
        <f>LN(int_data[[#This Row],[closes_alior]]/B52)</f>
        <v>-8.8206575596542786E-3</v>
      </c>
      <c r="E53">
        <v>144.38</v>
      </c>
      <c r="F53" s="2">
        <f>(int_data[[#This Row],[closes_ing]]-E52)/E52</f>
        <v>1.0569048785609231E-2</v>
      </c>
      <c r="G53" s="2">
        <f>LN(int_data[[#This Row],[closes_ing]]/E52)</f>
        <v>1.051358683394809E-2</v>
      </c>
    </row>
    <row r="54" spans="1:7" x14ac:dyDescent="0.2">
      <c r="A54" s="1">
        <v>44979</v>
      </c>
      <c r="B54">
        <v>34.42</v>
      </c>
      <c r="C54" s="2">
        <f>(int_data[[#This Row],[closes_alior]]-B53)/B53</f>
        <v>-1.6290368676764796E-2</v>
      </c>
      <c r="D54" s="2">
        <f>LN(int_data[[#This Row],[closes_alior]]/B53)</f>
        <v>-1.642451559620332E-2</v>
      </c>
      <c r="E54">
        <v>139.53</v>
      </c>
      <c r="F54" s="2">
        <f>(int_data[[#This Row],[closes_ing]]-E53)/E53</f>
        <v>-3.3591910236874876E-2</v>
      </c>
      <c r="G54" s="2">
        <f>LN(int_data[[#This Row],[closes_ing]]/E53)</f>
        <v>-3.4169080806899614E-2</v>
      </c>
    </row>
    <row r="55" spans="1:7" x14ac:dyDescent="0.2">
      <c r="A55" s="1">
        <v>44980</v>
      </c>
      <c r="B55">
        <v>34.340000000000003</v>
      </c>
      <c r="C55" s="2">
        <f>(int_data[[#This Row],[closes_alior]]-B54)/B54</f>
        <v>-2.3242300987797297E-3</v>
      </c>
      <c r="D55" s="2">
        <f>LN(int_data[[#This Row],[closes_alior]]/B54)</f>
        <v>-2.3269353140637971E-3</v>
      </c>
      <c r="E55">
        <v>142.37</v>
      </c>
      <c r="F55" s="2">
        <f>(int_data[[#This Row],[closes_ing]]-E54)/E54</f>
        <v>2.0354045724933729E-2</v>
      </c>
      <c r="G55" s="2">
        <f>LN(int_data[[#This Row],[closes_ing]]/E54)</f>
        <v>2.0149670721539201E-2</v>
      </c>
    </row>
    <row r="56" spans="1:7" x14ac:dyDescent="0.2">
      <c r="A56" s="1">
        <v>44981</v>
      </c>
      <c r="B56">
        <v>34.765000000000001</v>
      </c>
      <c r="C56" s="2">
        <f>(int_data[[#This Row],[closes_alior]]-B55)/B55</f>
        <v>1.2376237623762292E-2</v>
      </c>
      <c r="D56" s="2">
        <f>LN(int_data[[#This Row],[closes_alior]]/B55)</f>
        <v>1.2300278081651687E-2</v>
      </c>
      <c r="E56">
        <v>144.38</v>
      </c>
      <c r="F56" s="2">
        <f>(int_data[[#This Row],[closes_ing]]-E55)/E55</f>
        <v>1.4118142867177009E-2</v>
      </c>
      <c r="G56" s="2">
        <f>LN(int_data[[#This Row],[closes_ing]]/E55)</f>
        <v>1.401941008536051E-2</v>
      </c>
    </row>
    <row r="57" spans="1:7" x14ac:dyDescent="0.2">
      <c r="A57" s="1">
        <v>44982</v>
      </c>
      <c r="B57">
        <v>35.19</v>
      </c>
      <c r="C57" s="2">
        <f>(int_data[[#This Row],[closes_alior]]-B56)/B56</f>
        <v>1.2224938875305541E-2</v>
      </c>
      <c r="D57" s="2">
        <f>LN(int_data[[#This Row],[closes_alior]]/B56)</f>
        <v>1.2150817782512528E-2</v>
      </c>
      <c r="E57">
        <v>146.38999999999999</v>
      </c>
      <c r="F57" s="2">
        <f>(int_data[[#This Row],[closes_ing]]-E56)/E56</f>
        <v>1.3921595788890365E-2</v>
      </c>
      <c r="G57" s="2">
        <f>LN(int_data[[#This Row],[closes_ing]]/E56)</f>
        <v>1.3825580472305334E-2</v>
      </c>
    </row>
    <row r="58" spans="1:7" x14ac:dyDescent="0.2">
      <c r="A58" s="1">
        <v>44983</v>
      </c>
      <c r="B58">
        <v>35.659999999999997</v>
      </c>
      <c r="C58" s="2">
        <f>(int_data[[#This Row],[closes_alior]]-B57)/B57</f>
        <v>1.335606706450693E-2</v>
      </c>
      <c r="D58" s="2">
        <f>LN(int_data[[#This Row],[closes_alior]]/B57)</f>
        <v>1.3267661101500584E-2</v>
      </c>
      <c r="E58">
        <v>146.38999999999999</v>
      </c>
      <c r="F58" s="2">
        <f>(int_data[[#This Row],[closes_ing]]-E57)/E57</f>
        <v>0</v>
      </c>
      <c r="G58" s="2">
        <f>LN(int_data[[#This Row],[closes_ing]]/E57)</f>
        <v>0</v>
      </c>
    </row>
    <row r="59" spans="1:7" x14ac:dyDescent="0.2">
      <c r="A59" s="1">
        <v>44984</v>
      </c>
      <c r="B59">
        <v>35.975000000000001</v>
      </c>
      <c r="C59" s="2">
        <f>(int_data[[#This Row],[closes_alior]]-B58)/B58</f>
        <v>8.8334268087494356E-3</v>
      </c>
      <c r="D59" s="2">
        <f>LN(int_data[[#This Row],[closes_alior]]/B58)</f>
        <v>8.7946403384374077E-3</v>
      </c>
      <c r="E59">
        <v>145.80500000000001</v>
      </c>
      <c r="F59" s="2">
        <f>(int_data[[#This Row],[closes_ing]]-E58)/E58</f>
        <v>-3.9961746020901676E-3</v>
      </c>
      <c r="G59" s="2">
        <f>LN(int_data[[#This Row],[closes_ing]]/E58)</f>
        <v>-4.004180643960826E-3</v>
      </c>
    </row>
    <row r="60" spans="1:7" x14ac:dyDescent="0.2">
      <c r="A60" s="1">
        <v>44985</v>
      </c>
      <c r="B60">
        <v>36.29</v>
      </c>
      <c r="C60" s="2">
        <f>(int_data[[#This Row],[closes_alior]]-B59)/B59</f>
        <v>8.756080611535726E-3</v>
      </c>
      <c r="D60" s="2">
        <f>LN(int_data[[#This Row],[closes_alior]]/B59)</f>
        <v>8.7179684515473182E-3</v>
      </c>
      <c r="E60">
        <v>145.22</v>
      </c>
      <c r="F60" s="2">
        <f>(int_data[[#This Row],[closes_ing]]-E59)/E59</f>
        <v>-4.0122080861425052E-3</v>
      </c>
      <c r="G60" s="2">
        <f>LN(int_data[[#This Row],[closes_ing]]/E59)</f>
        <v>-4.0202785872588201E-3</v>
      </c>
    </row>
    <row r="61" spans="1:7" x14ac:dyDescent="0.2">
      <c r="A61" s="1">
        <v>44986</v>
      </c>
      <c r="B61">
        <v>35.64</v>
      </c>
      <c r="C61" s="2">
        <f>(int_data[[#This Row],[closes_alior]]-B60)/B60</f>
        <v>-1.7911270322402827E-2</v>
      </c>
      <c r="D61" s="2">
        <f>LN(int_data[[#This Row],[closes_alior]]/B60)</f>
        <v>-1.8073618622370342E-2</v>
      </c>
      <c r="E61">
        <v>146.38999999999999</v>
      </c>
      <c r="F61" s="2">
        <f>(int_data[[#This Row],[closes_ing]]-E60)/E60</f>
        <v>8.0567414956616689E-3</v>
      </c>
      <c r="G61" s="2">
        <f>LN(int_data[[#This Row],[closes_ing]]/E60)</f>
        <v>8.0244592312195776E-3</v>
      </c>
    </row>
    <row r="62" spans="1:7" x14ac:dyDescent="0.2">
      <c r="A62" s="1">
        <v>44987</v>
      </c>
      <c r="B62">
        <v>34.200000000000003</v>
      </c>
      <c r="C62" s="2">
        <f>(int_data[[#This Row],[closes_alior]]-B61)/B61</f>
        <v>-4.0404040404040338E-2</v>
      </c>
      <c r="D62" s="2">
        <f>LN(int_data[[#This Row],[closes_alior]]/B61)</f>
        <v>-4.1242958534049017E-2</v>
      </c>
      <c r="E62">
        <v>143.88</v>
      </c>
      <c r="F62" s="2">
        <f>(int_data[[#This Row],[closes_ing]]-E61)/E61</f>
        <v>-1.7145979916660913E-2</v>
      </c>
      <c r="G62" s="2">
        <f>LN(int_data[[#This Row],[closes_ing]]/E61)</f>
        <v>-1.7294674355897151E-2</v>
      </c>
    </row>
    <row r="63" spans="1:7" x14ac:dyDescent="0.2">
      <c r="A63" s="1">
        <v>44988</v>
      </c>
      <c r="B63">
        <v>33.47</v>
      </c>
      <c r="C63" s="2">
        <f>(int_data[[#This Row],[closes_alior]]-B62)/B62</f>
        <v>-2.1345029239766198E-2</v>
      </c>
      <c r="D63" s="2">
        <f>LN(int_data[[#This Row],[closes_alior]]/B62)</f>
        <v>-2.157612884532437E-2</v>
      </c>
      <c r="E63">
        <v>137.52000000000001</v>
      </c>
      <c r="F63" s="2">
        <f>(int_data[[#This Row],[closes_ing]]-E62)/E62</f>
        <v>-4.420350291909915E-2</v>
      </c>
      <c r="G63" s="2">
        <f>LN(int_data[[#This Row],[closes_ing]]/E62)</f>
        <v>-4.5210257752829254E-2</v>
      </c>
    </row>
    <row r="64" spans="1:7" x14ac:dyDescent="0.2">
      <c r="A64" s="1">
        <v>44989</v>
      </c>
      <c r="B64">
        <v>33.92</v>
      </c>
      <c r="C64" s="2">
        <f>(int_data[[#This Row],[closes_alior]]-B63)/B63</f>
        <v>1.3444876008365785E-2</v>
      </c>
      <c r="D64" s="2">
        <f>LN(int_data[[#This Row],[closes_alior]]/B63)</f>
        <v>1.3355295700467236E-2</v>
      </c>
      <c r="E64">
        <v>138.86000000000001</v>
      </c>
      <c r="F64" s="2">
        <f>(int_data[[#This Row],[closes_ing]]-E63)/E63</f>
        <v>9.7440372309482506E-3</v>
      </c>
      <c r="G64" s="2">
        <f>LN(int_data[[#This Row],[closes_ing]]/E63)</f>
        <v>9.6968702505335763E-3</v>
      </c>
    </row>
    <row r="65" spans="1:7" x14ac:dyDescent="0.2">
      <c r="A65" s="1">
        <v>44990</v>
      </c>
      <c r="B65">
        <v>32.06</v>
      </c>
      <c r="C65" s="2">
        <f>(int_data[[#This Row],[closes_alior]]-B64)/B64</f>
        <v>-5.4834905660377339E-2</v>
      </c>
      <c r="D65" s="2">
        <f>LN(int_data[[#This Row],[closes_alior]]/B64)</f>
        <v>-5.6395663742295363E-2</v>
      </c>
      <c r="E65">
        <v>132.5</v>
      </c>
      <c r="F65" s="2">
        <f>(int_data[[#This Row],[closes_ing]]-E64)/E64</f>
        <v>-4.5801526717557349E-2</v>
      </c>
      <c r="G65" s="2">
        <f>LN(int_data[[#This Row],[closes_ing]]/E64)</f>
        <v>-4.6883585898850499E-2</v>
      </c>
    </row>
    <row r="66" spans="1:7" x14ac:dyDescent="0.2">
      <c r="A66" s="1">
        <v>44991</v>
      </c>
      <c r="B66">
        <v>31.87</v>
      </c>
      <c r="C66" s="2">
        <f>(int_data[[#This Row],[closes_alior]]-B65)/B65</f>
        <v>-5.9263880224579308E-3</v>
      </c>
      <c r="D66" s="2">
        <f>LN(int_data[[#This Row],[closes_alior]]/B65)</f>
        <v>-5.9440187521618889E-3</v>
      </c>
      <c r="E66">
        <v>132</v>
      </c>
      <c r="F66" s="2">
        <f>(int_data[[#This Row],[closes_ing]]-E65)/E65</f>
        <v>-3.7735849056603774E-3</v>
      </c>
      <c r="G66" s="2">
        <f>LN(int_data[[#This Row],[closes_ing]]/E65)</f>
        <v>-3.7807228399060443E-3</v>
      </c>
    </row>
    <row r="67" spans="1:7" x14ac:dyDescent="0.2">
      <c r="A67" s="1">
        <v>44992</v>
      </c>
      <c r="B67">
        <v>30.885000000000002</v>
      </c>
      <c r="C67" s="2">
        <f>(int_data[[#This Row],[closes_alior]]-B66)/B66</f>
        <v>-3.090680891120174E-2</v>
      </c>
      <c r="D67" s="2">
        <f>LN(int_data[[#This Row],[closes_alior]]/B66)</f>
        <v>-3.1394499281382611E-2</v>
      </c>
      <c r="E67">
        <v>132.58500000000001</v>
      </c>
      <c r="F67" s="2">
        <f>(int_data[[#This Row],[closes_ing]]-E66)/E66</f>
        <v>4.4318181818182424E-3</v>
      </c>
      <c r="G67" s="2">
        <f>LN(int_data[[#This Row],[closes_ing]]/E66)</f>
        <v>4.4220265946500826E-3</v>
      </c>
    </row>
    <row r="68" spans="1:7" x14ac:dyDescent="0.2">
      <c r="A68" s="1">
        <v>44993</v>
      </c>
      <c r="B68">
        <v>29.9</v>
      </c>
      <c r="C68" s="2">
        <f>(int_data[[#This Row],[closes_alior]]-B67)/B67</f>
        <v>-3.1892504451999447E-2</v>
      </c>
      <c r="D68" s="2">
        <f>LN(int_data[[#This Row],[closes_alior]]/B67)</f>
        <v>-3.2412148751221795E-2</v>
      </c>
      <c r="E68">
        <v>133.16999999999999</v>
      </c>
      <c r="F68" s="2">
        <f>(int_data[[#This Row],[closes_ing]]-E67)/E67</f>
        <v>4.4122638307499303E-3</v>
      </c>
      <c r="G68" s="2">
        <f>LN(int_data[[#This Row],[closes_ing]]/E67)</f>
        <v>4.4025583330325069E-3</v>
      </c>
    </row>
    <row r="69" spans="1:7" x14ac:dyDescent="0.2">
      <c r="A69" s="1">
        <v>44994</v>
      </c>
      <c r="B69">
        <v>29.49</v>
      </c>
      <c r="C69" s="2">
        <f>(int_data[[#This Row],[closes_alior]]-B68)/B68</f>
        <v>-1.3712374581939805E-2</v>
      </c>
      <c r="D69" s="2">
        <f>LN(int_data[[#This Row],[closes_alior]]/B68)</f>
        <v>-1.3807257569455925E-2</v>
      </c>
      <c r="E69">
        <v>132.5</v>
      </c>
      <c r="F69" s="2">
        <f>(int_data[[#This Row],[closes_ing]]-E68)/E68</f>
        <v>-5.0311631748891457E-3</v>
      </c>
      <c r="G69" s="2">
        <f>LN(int_data[[#This Row],[closes_ing]]/E68)</f>
        <v>-5.0438620877765912E-3</v>
      </c>
    </row>
    <row r="70" spans="1:7" x14ac:dyDescent="0.2">
      <c r="A70" s="1">
        <v>44995</v>
      </c>
      <c r="B70">
        <v>29.824999999999999</v>
      </c>
      <c r="C70" s="2">
        <f>(int_data[[#This Row],[closes_alior]]-B69)/B69</f>
        <v>1.1359782977280464E-2</v>
      </c>
      <c r="D70" s="2">
        <f>LN(int_data[[#This Row],[closes_alior]]/B69)</f>
        <v>1.1295745156794964E-2</v>
      </c>
      <c r="E70">
        <v>133.16999999999999</v>
      </c>
      <c r="F70" s="2">
        <f>(int_data[[#This Row],[closes_ing]]-E69)/E69</f>
        <v>5.0566037735848115E-3</v>
      </c>
      <c r="G70" s="2">
        <f>LN(int_data[[#This Row],[closes_ing]]/E69)</f>
        <v>5.0438620877766172E-3</v>
      </c>
    </row>
    <row r="71" spans="1:7" x14ac:dyDescent="0.2">
      <c r="A71" s="1">
        <v>44996</v>
      </c>
      <c r="B71">
        <v>30.16</v>
      </c>
      <c r="C71" s="2">
        <f>(int_data[[#This Row],[closes_alior]]-B70)/B70</f>
        <v>1.1232187761944706E-2</v>
      </c>
      <c r="D71" s="2">
        <f>LN(int_data[[#This Row],[closes_alior]]/B70)</f>
        <v>1.1169575155775624E-2</v>
      </c>
      <c r="E71">
        <v>133.84</v>
      </c>
      <c r="F71" s="2">
        <f>(int_data[[#This Row],[closes_ing]]-E70)/E70</f>
        <v>5.031163174889359E-3</v>
      </c>
      <c r="G71" s="2">
        <f>LN(int_data[[#This Row],[closes_ing]]/E70)</f>
        <v>5.0185491645151122E-3</v>
      </c>
    </row>
    <row r="72" spans="1:7" x14ac:dyDescent="0.2">
      <c r="A72" s="1">
        <v>44997</v>
      </c>
      <c r="B72">
        <v>29.81</v>
      </c>
      <c r="C72" s="2">
        <f>(int_data[[#This Row],[closes_alior]]-B71)/B71</f>
        <v>-1.1604774535809066E-2</v>
      </c>
      <c r="D72" s="2">
        <f>LN(int_data[[#This Row],[closes_alior]]/B71)</f>
        <v>-1.1672635449775334E-2</v>
      </c>
      <c r="E72">
        <v>131.33000000000001</v>
      </c>
      <c r="F72" s="2">
        <f>(int_data[[#This Row],[closes_ing]]-E71)/E71</f>
        <v>-1.8753735803944939E-2</v>
      </c>
      <c r="G72" s="2">
        <f>LN(int_data[[#This Row],[closes_ing]]/E71)</f>
        <v>-1.8931817081499887E-2</v>
      </c>
    </row>
    <row r="73" spans="1:7" x14ac:dyDescent="0.2">
      <c r="A73" s="1">
        <v>44998</v>
      </c>
      <c r="B73">
        <v>29.96</v>
      </c>
      <c r="C73" s="2">
        <f>(int_data[[#This Row],[closes_alior]]-B72)/B72</f>
        <v>5.0318685005032587E-3</v>
      </c>
      <c r="D73" s="2">
        <f>LN(int_data[[#This Row],[closes_alior]]/B72)</f>
        <v>5.0192509590387662E-3</v>
      </c>
      <c r="E73">
        <v>133.84</v>
      </c>
      <c r="F73" s="2">
        <f>(int_data[[#This Row],[closes_ing]]-E72)/E72</f>
        <v>1.9112160207111786E-2</v>
      </c>
      <c r="G73" s="2">
        <f>LN(int_data[[#This Row],[closes_ing]]/E72)</f>
        <v>1.8931817081499956E-2</v>
      </c>
    </row>
    <row r="74" spans="1:7" x14ac:dyDescent="0.2">
      <c r="A74" s="1">
        <v>44999</v>
      </c>
      <c r="B74">
        <v>29.65</v>
      </c>
      <c r="C74" s="2">
        <f>(int_data[[#This Row],[closes_alior]]-B73)/B73</f>
        <v>-1.0347129506008086E-2</v>
      </c>
      <c r="D74" s="2">
        <f>LN(int_data[[#This Row],[closes_alior]]/B73)</f>
        <v>-1.0401033205284396E-2</v>
      </c>
      <c r="E74">
        <v>132.33000000000001</v>
      </c>
      <c r="F74" s="2">
        <f>(int_data[[#This Row],[closes_ing]]-E73)/E73</f>
        <v>-1.1282127913927008E-2</v>
      </c>
      <c r="G74" s="2">
        <f>LN(int_data[[#This Row],[closes_ing]]/E73)</f>
        <v>-1.1346253893610422E-2</v>
      </c>
    </row>
    <row r="75" spans="1:7" x14ac:dyDescent="0.2">
      <c r="A75" s="1">
        <v>45000</v>
      </c>
      <c r="B75">
        <v>31.03</v>
      </c>
      <c r="C75" s="2">
        <f>(int_data[[#This Row],[closes_alior]]-B74)/B74</f>
        <v>4.6543001686340728E-2</v>
      </c>
      <c r="D75" s="2">
        <f>LN(int_data[[#This Row],[closes_alior]]/B74)</f>
        <v>4.5492353016554354E-2</v>
      </c>
      <c r="E75">
        <v>134.68</v>
      </c>
      <c r="F75" s="2">
        <f>(int_data[[#This Row],[closes_ing]]-E74)/E74</f>
        <v>1.7758633718733426E-2</v>
      </c>
      <c r="G75" s="2">
        <f>LN(int_data[[#This Row],[closes_ing]]/E74)</f>
        <v>1.7602791507915643E-2</v>
      </c>
    </row>
    <row r="76" spans="1:7" x14ac:dyDescent="0.2">
      <c r="A76" s="1">
        <v>45001</v>
      </c>
      <c r="B76">
        <v>32.04</v>
      </c>
      <c r="C76" s="2">
        <f>(int_data[[#This Row],[closes_alior]]-B75)/B75</f>
        <v>3.2549145987753721E-2</v>
      </c>
      <c r="D76" s="2">
        <f>LN(int_data[[#This Row],[closes_alior]]/B75)</f>
        <v>3.2030643739869677E-2</v>
      </c>
      <c r="E76">
        <v>134.34</v>
      </c>
      <c r="F76" s="2">
        <f>(int_data[[#This Row],[closes_ing]]-E75)/E75</f>
        <v>-2.5245025245025495E-3</v>
      </c>
      <c r="G76" s="2">
        <f>LN(int_data[[#This Row],[closes_ing]]/E75)</f>
        <v>-2.5276944541552885E-3</v>
      </c>
    </row>
    <row r="77" spans="1:7" x14ac:dyDescent="0.2">
      <c r="A77" s="1">
        <v>45002</v>
      </c>
      <c r="B77">
        <v>32.89</v>
      </c>
      <c r="C77" s="2">
        <f>(int_data[[#This Row],[closes_alior]]-B76)/B76</f>
        <v>2.652933832709118E-2</v>
      </c>
      <c r="D77" s="2">
        <f>LN(int_data[[#This Row],[closes_alior]]/B76)</f>
        <v>2.6183538000807249E-2</v>
      </c>
      <c r="E77">
        <v>131.83000000000001</v>
      </c>
      <c r="F77" s="2">
        <f>(int_data[[#This Row],[closes_ing]]-E76)/E76</f>
        <v>-1.8683936281077795E-2</v>
      </c>
      <c r="G77" s="2">
        <f>LN(int_data[[#This Row],[closes_ing]]/E76)</f>
        <v>-1.8860686068839814E-2</v>
      </c>
    </row>
    <row r="78" spans="1:7" x14ac:dyDescent="0.2">
      <c r="A78" s="1">
        <v>45003</v>
      </c>
      <c r="B78">
        <v>33.21</v>
      </c>
      <c r="C78" s="2">
        <f>(int_data[[#This Row],[closes_alior]]-B77)/B77</f>
        <v>9.7294010337488687E-3</v>
      </c>
      <c r="D78" s="2">
        <f>LN(int_data[[#This Row],[closes_alior]]/B77)</f>
        <v>9.6823751876897127E-3</v>
      </c>
      <c r="E78">
        <v>133.58500000000001</v>
      </c>
      <c r="F78" s="2">
        <f>(int_data[[#This Row],[closes_ing]]-E77)/E77</f>
        <v>1.3312599560039409E-2</v>
      </c>
      <c r="G78" s="2">
        <f>LN(int_data[[#This Row],[closes_ing]]/E77)</f>
        <v>1.3224765580204882E-2</v>
      </c>
    </row>
    <row r="79" spans="1:7" x14ac:dyDescent="0.2">
      <c r="A79" s="1">
        <v>45004</v>
      </c>
      <c r="B79">
        <v>33.53</v>
      </c>
      <c r="C79" s="2">
        <f>(int_data[[#This Row],[closes_alior]]-B78)/B78</f>
        <v>9.6356519120746852E-3</v>
      </c>
      <c r="D79" s="2">
        <f>LN(int_data[[#This Row],[closes_alior]]/B78)</f>
        <v>9.5895250894819008E-3</v>
      </c>
      <c r="E79">
        <v>135.34</v>
      </c>
      <c r="F79" s="2">
        <f>(int_data[[#This Row],[closes_ing]]-E78)/E78</f>
        <v>1.3137702586368195E-2</v>
      </c>
      <c r="G79" s="2">
        <f>LN(int_data[[#This Row],[closes_ing]]/E78)</f>
        <v>1.3052151453995867E-2</v>
      </c>
    </row>
    <row r="80" spans="1:7" x14ac:dyDescent="0.2">
      <c r="A80" s="1">
        <v>45005</v>
      </c>
      <c r="B80">
        <v>33.68</v>
      </c>
      <c r="C80" s="2">
        <f>(int_data[[#This Row],[closes_alior]]-B79)/B79</f>
        <v>4.473605726215287E-3</v>
      </c>
      <c r="D80" s="2">
        <f>LN(int_data[[#This Row],[closes_alior]]/B79)</f>
        <v>4.4636288959888333E-3</v>
      </c>
      <c r="E80">
        <v>137.19</v>
      </c>
      <c r="F80" s="2">
        <f>(int_data[[#This Row],[closes_ing]]-E79)/E79</f>
        <v>1.3669277375498702E-2</v>
      </c>
      <c r="G80" s="2">
        <f>LN(int_data[[#This Row],[closes_ing]]/E79)</f>
        <v>1.3576695533994038E-2</v>
      </c>
    </row>
    <row r="81" spans="1:7" x14ac:dyDescent="0.2">
      <c r="A81" s="1">
        <v>45006</v>
      </c>
      <c r="B81">
        <v>33.92</v>
      </c>
      <c r="C81" s="2">
        <f>(int_data[[#This Row],[closes_alior]]-B80)/B80</f>
        <v>7.1258907363421021E-3</v>
      </c>
      <c r="D81" s="2">
        <f>LN(int_data[[#This Row],[closes_alior]]/B80)</f>
        <v>7.1006215495763685E-3</v>
      </c>
      <c r="E81">
        <v>139.28</v>
      </c>
      <c r="F81" s="2">
        <f>(int_data[[#This Row],[closes_ing]]-E80)/E80</f>
        <v>1.52343465267148E-2</v>
      </c>
      <c r="G81" s="2">
        <f>LN(int_data[[#This Row],[closes_ing]]/E80)</f>
        <v>1.5119469121860164E-2</v>
      </c>
    </row>
    <row r="82" spans="1:7" x14ac:dyDescent="0.2">
      <c r="A82" s="1">
        <v>45007</v>
      </c>
      <c r="B82">
        <v>34.159999999999997</v>
      </c>
      <c r="C82" s="2">
        <f>(int_data[[#This Row],[closes_alior]]-B81)/B81</f>
        <v>7.0754716981130568E-3</v>
      </c>
      <c r="D82" s="2">
        <f>LN(int_data[[#This Row],[closes_alior]]/B81)</f>
        <v>7.0505579966665417E-3</v>
      </c>
      <c r="E82">
        <v>141.37</v>
      </c>
      <c r="F82" s="2">
        <f>(int_data[[#This Row],[closes_ing]]-E81)/E81</f>
        <v>1.5005743825387732E-2</v>
      </c>
      <c r="G82" s="2">
        <f>LN(int_data[[#This Row],[closes_ing]]/E81)</f>
        <v>1.4894271419007541E-2</v>
      </c>
    </row>
    <row r="83" spans="1:7" x14ac:dyDescent="0.2">
      <c r="A83" s="1">
        <v>45008</v>
      </c>
      <c r="B83">
        <v>34.97</v>
      </c>
      <c r="C83" s="2">
        <f>(int_data[[#This Row],[closes_alior]]-B82)/B82</f>
        <v>2.3711943793911075E-2</v>
      </c>
      <c r="D83" s="2">
        <f>LN(int_data[[#This Row],[closes_alior]]/B82)</f>
        <v>2.3435182154915413E-2</v>
      </c>
      <c r="E83">
        <v>140.03</v>
      </c>
      <c r="F83" s="2">
        <f>(int_data[[#This Row],[closes_ing]]-E82)/E82</f>
        <v>-9.4786729857820138E-3</v>
      </c>
      <c r="G83" s="2">
        <f>LN(int_data[[#This Row],[closes_ing]]/E82)</f>
        <v>-9.5238815112554786E-3</v>
      </c>
    </row>
    <row r="84" spans="1:7" x14ac:dyDescent="0.2">
      <c r="A84" s="1">
        <v>45009</v>
      </c>
      <c r="B84">
        <v>33.85</v>
      </c>
      <c r="C84" s="2">
        <f>(int_data[[#This Row],[closes_alior]]-B83)/B83</f>
        <v>-3.2027452101801475E-2</v>
      </c>
      <c r="D84" s="2">
        <f>LN(int_data[[#This Row],[closes_alior]]/B83)</f>
        <v>-3.2551551717000395E-2</v>
      </c>
      <c r="E84">
        <v>138.69</v>
      </c>
      <c r="F84" s="2">
        <f>(int_data[[#This Row],[closes_ing]]-E83)/E83</f>
        <v>-9.5693779904306459E-3</v>
      </c>
      <c r="G84" s="2">
        <f>LN(int_data[[#This Row],[closes_ing]]/E83)</f>
        <v>-9.6154586994419804E-3</v>
      </c>
    </row>
    <row r="85" spans="1:7" x14ac:dyDescent="0.2">
      <c r="A85" s="1">
        <v>45010</v>
      </c>
      <c r="B85">
        <v>34.01</v>
      </c>
      <c r="C85" s="2">
        <f>(int_data[[#This Row],[closes_alior]]-B84)/B84</f>
        <v>4.7267355982273732E-3</v>
      </c>
      <c r="D85" s="2">
        <f>LN(int_data[[#This Row],[closes_alior]]/B84)</f>
        <v>4.7155996608200636E-3</v>
      </c>
      <c r="E85">
        <v>136.35</v>
      </c>
      <c r="F85" s="2">
        <f>(int_data[[#This Row],[closes_ing]]-E84)/E84</f>
        <v>-1.6872160934458168E-2</v>
      </c>
      <c r="G85" s="2">
        <f>LN(int_data[[#This Row],[closes_ing]]/E84)</f>
        <v>-1.7016117376646291E-2</v>
      </c>
    </row>
    <row r="86" spans="1:7" x14ac:dyDescent="0.2">
      <c r="A86" s="1">
        <v>45011</v>
      </c>
      <c r="B86">
        <v>35.69</v>
      </c>
      <c r="C86" s="2">
        <f>(int_data[[#This Row],[closes_alior]]-B85)/B85</f>
        <v>4.9397236107027342E-2</v>
      </c>
      <c r="D86" s="2">
        <f>LN(int_data[[#This Row],[closes_alior]]/B85)</f>
        <v>4.8215938482964939E-2</v>
      </c>
      <c r="E86">
        <v>142.04</v>
      </c>
      <c r="F86" s="2">
        <f>(int_data[[#This Row],[closes_ing]]-E85)/E85</f>
        <v>4.1730839750641714E-2</v>
      </c>
      <c r="G86" s="2">
        <f>LN(int_data[[#This Row],[closes_ing]]/E85)</f>
        <v>4.0883598783289614E-2</v>
      </c>
    </row>
    <row r="87" spans="1:7" x14ac:dyDescent="0.2">
      <c r="A87" s="1">
        <v>45012</v>
      </c>
      <c r="B87">
        <v>36.770000000000003</v>
      </c>
      <c r="C87" s="2">
        <f>(int_data[[#This Row],[closes_alior]]-B86)/B86</f>
        <v>3.0260577192491048E-2</v>
      </c>
      <c r="D87" s="2">
        <f>LN(int_data[[#This Row],[closes_alior]]/B86)</f>
        <v>2.9811757811111849E-2</v>
      </c>
      <c r="E87">
        <v>140.03</v>
      </c>
      <c r="F87" s="2">
        <f>(int_data[[#This Row],[closes_ing]]-E86)/E86</f>
        <v>-1.4150943396226351E-2</v>
      </c>
      <c r="G87" s="2">
        <f>LN(int_data[[#This Row],[closes_ing]]/E86)</f>
        <v>-1.4252022707201389E-2</v>
      </c>
    </row>
    <row r="88" spans="1:7" x14ac:dyDescent="0.2">
      <c r="A88" s="1">
        <v>45013</v>
      </c>
      <c r="B88">
        <v>38.46</v>
      </c>
      <c r="C88" s="2">
        <f>(int_data[[#This Row],[closes_alior]]-B87)/B87</f>
        <v>4.5961381561055142E-2</v>
      </c>
      <c r="D88" s="2">
        <f>LN(int_data[[#This Row],[closes_alior]]/B87)</f>
        <v>4.4936444847452947E-2</v>
      </c>
      <c r="E88">
        <v>139.36000000000001</v>
      </c>
      <c r="F88" s="2">
        <f>(int_data[[#This Row],[closes_ing]]-E87)/E87</f>
        <v>-4.7846889952152215E-3</v>
      </c>
      <c r="G88" s="2">
        <f>LN(int_data[[#This Row],[closes_ing]]/E87)</f>
        <v>-4.7961722634929441E-3</v>
      </c>
    </row>
    <row r="89" spans="1:7" x14ac:dyDescent="0.2">
      <c r="A89" s="1">
        <v>45014</v>
      </c>
      <c r="B89">
        <v>38.83</v>
      </c>
      <c r="C89" s="2">
        <f>(int_data[[#This Row],[closes_alior]]-B88)/B88</f>
        <v>9.6203848153925495E-3</v>
      </c>
      <c r="D89" s="2">
        <f>LN(int_data[[#This Row],[closes_alior]]/B88)</f>
        <v>9.5744035829422799E-3</v>
      </c>
      <c r="E89">
        <v>138.69</v>
      </c>
      <c r="F89" s="2">
        <f>(int_data[[#This Row],[closes_ing]]-E88)/E88</f>
        <v>-4.8076923076924216E-3</v>
      </c>
      <c r="G89" s="2">
        <f>LN(int_data[[#This Row],[closes_ing]]/E88)</f>
        <v>-4.8192864359489947E-3</v>
      </c>
    </row>
    <row r="90" spans="1:7" x14ac:dyDescent="0.2">
      <c r="A90" s="1">
        <v>45015</v>
      </c>
      <c r="B90">
        <v>39.200000000000003</v>
      </c>
      <c r="C90" s="2">
        <f>(int_data[[#This Row],[closes_alior]]-B89)/B89</f>
        <v>9.5287149111512887E-3</v>
      </c>
      <c r="D90" s="2">
        <f>LN(int_data[[#This Row],[closes_alior]]/B89)</f>
        <v>9.4836030528411084E-3</v>
      </c>
      <c r="E90">
        <v>138.02000000000001</v>
      </c>
      <c r="F90" s="2">
        <f>(int_data[[#This Row],[closes_ing]]-E89)/E89</f>
        <v>-4.8309178743960448E-3</v>
      </c>
      <c r="G90" s="2">
        <f>LN(int_data[[#This Row],[closes_ing]]/E89)</f>
        <v>-4.8426244757879032E-3</v>
      </c>
    </row>
    <row r="91" spans="1:7" x14ac:dyDescent="0.2">
      <c r="A91" s="1">
        <v>45016</v>
      </c>
      <c r="B91">
        <v>39.479999999999997</v>
      </c>
      <c r="C91" s="2">
        <f>(int_data[[#This Row],[closes_alior]]-B90)/B90</f>
        <v>7.14285714285699E-3</v>
      </c>
      <c r="D91" s="2">
        <f>LN(int_data[[#This Row],[closes_alior]]/B90)</f>
        <v>7.1174677688637337E-3</v>
      </c>
      <c r="E91">
        <v>138.86000000000001</v>
      </c>
      <c r="F91" s="2">
        <f>(int_data[[#This Row],[closes_ing]]-E90)/E90</f>
        <v>6.0860744819591604E-3</v>
      </c>
      <c r="G91" s="2">
        <f>LN(int_data[[#This Row],[closes_ing]]/E90)</f>
        <v>6.0676291326714924E-3</v>
      </c>
    </row>
    <row r="92" spans="1:7" x14ac:dyDescent="0.2">
      <c r="A92" s="1">
        <v>45017</v>
      </c>
      <c r="B92">
        <v>39.405000000000001</v>
      </c>
      <c r="C92" s="2">
        <f>(int_data[[#This Row],[closes_alior]]-B91)/B91</f>
        <v>-1.8996960486321109E-3</v>
      </c>
      <c r="D92" s="2">
        <f>LN(int_data[[#This Row],[closes_alior]]/B91)</f>
        <v>-1.9015027596678957E-3</v>
      </c>
      <c r="E92">
        <v>139.28</v>
      </c>
      <c r="F92" s="2">
        <f>(int_data[[#This Row],[closes_ing]]-E91)/E91</f>
        <v>3.0246291228574638E-3</v>
      </c>
      <c r="G92" s="2">
        <f>LN(int_data[[#This Row],[closes_ing]]/E91)</f>
        <v>3.0200641348062311E-3</v>
      </c>
    </row>
    <row r="93" spans="1:7" x14ac:dyDescent="0.2">
      <c r="A93" s="1">
        <v>45018</v>
      </c>
      <c r="B93">
        <v>39.33</v>
      </c>
      <c r="C93" s="2">
        <f>(int_data[[#This Row],[closes_alior]]-B92)/B92</f>
        <v>-1.9033117624667642E-3</v>
      </c>
      <c r="D93" s="2">
        <f>LN(int_data[[#This Row],[closes_alior]]/B92)</f>
        <v>-1.9051253618947415E-3</v>
      </c>
      <c r="E93">
        <v>139.69999999999999</v>
      </c>
      <c r="F93" s="2">
        <f>(int_data[[#This Row],[closes_ing]]-E92)/E92</f>
        <v>3.0155083285467225E-3</v>
      </c>
      <c r="G93" s="2">
        <f>LN(int_data[[#This Row],[closes_ing]]/E92)</f>
        <v>3.0109708029825199E-3</v>
      </c>
    </row>
    <row r="94" spans="1:7" x14ac:dyDescent="0.2">
      <c r="A94" s="1">
        <v>45019</v>
      </c>
      <c r="B94">
        <v>39.07</v>
      </c>
      <c r="C94" s="2">
        <f>(int_data[[#This Row],[closes_alior]]-B93)/B93</f>
        <v>-6.6107297228578188E-3</v>
      </c>
      <c r="D94" s="2">
        <f>LN(int_data[[#This Row],[closes_alior]]/B93)</f>
        <v>-6.6326773767388901E-3</v>
      </c>
      <c r="E94">
        <v>138.52000000000001</v>
      </c>
      <c r="F94" s="2">
        <f>(int_data[[#This Row],[closes_ing]]-E93)/E93</f>
        <v>-8.4466714387972687E-3</v>
      </c>
      <c r="G94" s="2">
        <f>LN(int_data[[#This Row],[closes_ing]]/E93)</f>
        <v>-8.4825467286947891E-3</v>
      </c>
    </row>
    <row r="95" spans="1:7" x14ac:dyDescent="0.2">
      <c r="A95" s="1">
        <v>45020</v>
      </c>
      <c r="B95">
        <v>39.19</v>
      </c>
      <c r="C95" s="2">
        <f>(int_data[[#This Row],[closes_alior]]-B94)/B94</f>
        <v>3.0714102892244032E-3</v>
      </c>
      <c r="D95" s="2">
        <f>LN(int_data[[#This Row],[closes_alior]]/B94)</f>
        <v>3.0667031445608247E-3</v>
      </c>
      <c r="E95">
        <v>138.36000000000001</v>
      </c>
      <c r="F95" s="2">
        <f>(int_data[[#This Row],[closes_ing]]-E94)/E94</f>
        <v>-1.1550678602367643E-3</v>
      </c>
      <c r="G95" s="2">
        <f>LN(int_data[[#This Row],[closes_ing]]/E94)</f>
        <v>-1.1557354652532356E-3</v>
      </c>
    </row>
    <row r="96" spans="1:7" x14ac:dyDescent="0.2">
      <c r="A96" s="1">
        <v>45021</v>
      </c>
      <c r="B96">
        <v>39.75</v>
      </c>
      <c r="C96" s="2">
        <f>(int_data[[#This Row],[closes_alior]]-B95)/B95</f>
        <v>1.4289359530492532E-2</v>
      </c>
      <c r="D96" s="2">
        <f>LN(int_data[[#This Row],[closes_alior]]/B95)</f>
        <v>1.4188228888800827E-2</v>
      </c>
      <c r="E96">
        <v>135.85</v>
      </c>
      <c r="F96" s="2">
        <f>(int_data[[#This Row],[closes_ing]]-E95)/E95</f>
        <v>-1.8141081237351975E-2</v>
      </c>
      <c r="G96" s="2">
        <f>LN(int_data[[#This Row],[closes_ing]]/E95)</f>
        <v>-1.8307648196611306E-2</v>
      </c>
    </row>
    <row r="97" spans="1:7" x14ac:dyDescent="0.2">
      <c r="A97" s="1">
        <v>45022</v>
      </c>
      <c r="B97">
        <v>39.15</v>
      </c>
      <c r="C97" s="2">
        <f>(int_data[[#This Row],[closes_alior]]-B96)/B96</f>
        <v>-1.5094339622641546E-2</v>
      </c>
      <c r="D97" s="2">
        <f>LN(int_data[[#This Row],[closes_alior]]/B96)</f>
        <v>-1.5209418663528795E-2</v>
      </c>
      <c r="E97">
        <v>135.85</v>
      </c>
      <c r="F97" s="2">
        <f>(int_data[[#This Row],[closes_ing]]-E96)/E96</f>
        <v>0</v>
      </c>
      <c r="G97" s="2">
        <f>LN(int_data[[#This Row],[closes_ing]]/E96)</f>
        <v>0</v>
      </c>
    </row>
    <row r="98" spans="1:7" x14ac:dyDescent="0.2">
      <c r="A98" s="1">
        <v>45023</v>
      </c>
      <c r="B98">
        <v>38.799999999999997</v>
      </c>
      <c r="C98" s="2">
        <f>(int_data[[#This Row],[closes_alior]]-B97)/B97</f>
        <v>-8.9399744572158726E-3</v>
      </c>
      <c r="D98" s="2">
        <f>LN(int_data[[#This Row],[closes_alior]]/B97)</f>
        <v>-8.9801758075843518E-3</v>
      </c>
      <c r="E98">
        <v>134.68</v>
      </c>
      <c r="F98" s="2">
        <f>(int_data[[#This Row],[closes_ing]]-E97)/E97</f>
        <v>-8.6124401913874674E-3</v>
      </c>
      <c r="G98" s="2">
        <f>LN(int_data[[#This Row],[closes_ing]]/E97)</f>
        <v>-8.6497415794829658E-3</v>
      </c>
    </row>
    <row r="99" spans="1:7" x14ac:dyDescent="0.2">
      <c r="A99" s="1">
        <v>45024</v>
      </c>
      <c r="B99">
        <v>37.9</v>
      </c>
      <c r="C99" s="2">
        <f>(int_data[[#This Row],[closes_alior]]-B98)/B98</f>
        <v>-2.319587628865976E-2</v>
      </c>
      <c r="D99" s="2">
        <f>LN(int_data[[#This Row],[closes_alior]]/B98)</f>
        <v>-2.3469134540847009E-2</v>
      </c>
      <c r="E99">
        <v>133.84</v>
      </c>
      <c r="F99" s="2">
        <f>(int_data[[#This Row],[closes_ing]]-E98)/E98</f>
        <v>-6.2370062370062616E-3</v>
      </c>
      <c r="G99" s="2">
        <f>LN(int_data[[#This Row],[closes_ing]]/E98)</f>
        <v>-6.2565376143052598E-3</v>
      </c>
    </row>
    <row r="100" spans="1:7" x14ac:dyDescent="0.2">
      <c r="A100" s="1">
        <v>45025</v>
      </c>
      <c r="B100">
        <v>38.380000000000003</v>
      </c>
      <c r="C100" s="2">
        <f>(int_data[[#This Row],[closes_alior]]-B99)/B99</f>
        <v>1.2664907651715145E-2</v>
      </c>
      <c r="D100" s="2">
        <f>LN(int_data[[#This Row],[closes_alior]]/B99)</f>
        <v>1.2585378491173277E-2</v>
      </c>
      <c r="E100">
        <v>133.41999999999999</v>
      </c>
      <c r="F100" s="2">
        <f>(int_data[[#This Row],[closes_ing]]-E99)/E99</f>
        <v>-3.1380753138076502E-3</v>
      </c>
      <c r="G100" s="2">
        <f>LN(int_data[[#This Row],[closes_ing]]/E99)</f>
        <v>-3.1430093971992513E-3</v>
      </c>
    </row>
    <row r="101" spans="1:7" x14ac:dyDescent="0.2">
      <c r="A101" s="1">
        <v>45026</v>
      </c>
      <c r="B101">
        <v>38.86</v>
      </c>
      <c r="C101" s="2">
        <f>(int_data[[#This Row],[closes_alior]]-B100)/B100</f>
        <v>1.2506513809275583E-2</v>
      </c>
      <c r="D101" s="2">
        <f>LN(int_data[[#This Row],[closes_alior]]/B100)</f>
        <v>1.242895336973999E-2</v>
      </c>
      <c r="E101">
        <v>133</v>
      </c>
      <c r="F101" s="2">
        <f>(int_data[[#This Row],[closes_ing]]-E100)/E100</f>
        <v>-3.1479538300103996E-3</v>
      </c>
      <c r="G101" s="2">
        <f>LN(int_data[[#This Row],[closes_ing]]/E100)</f>
        <v>-3.1529190596155305E-3</v>
      </c>
    </row>
    <row r="102" spans="1:7" x14ac:dyDescent="0.2">
      <c r="A102" s="1">
        <v>45027</v>
      </c>
      <c r="B102">
        <v>37.729999999999997</v>
      </c>
      <c r="C102" s="2">
        <f>(int_data[[#This Row],[closes_alior]]-B101)/B101</f>
        <v>-2.9078744209984627E-2</v>
      </c>
      <c r="D102" s="2">
        <f>LN(int_data[[#This Row],[closes_alior]]/B101)</f>
        <v>-2.9509909973074951E-2</v>
      </c>
      <c r="E102">
        <v>132.5</v>
      </c>
      <c r="F102" s="2">
        <f>(int_data[[#This Row],[closes_ing]]-E101)/E101</f>
        <v>-3.7593984962406013E-3</v>
      </c>
      <c r="G102" s="2">
        <f>LN(int_data[[#This Row],[closes_ing]]/E101)</f>
        <v>-3.7664827954768934E-3</v>
      </c>
    </row>
    <row r="103" spans="1:7" x14ac:dyDescent="0.2">
      <c r="A103" s="1">
        <v>45028</v>
      </c>
      <c r="B103">
        <v>37.479999999999997</v>
      </c>
      <c r="C103" s="2">
        <f>(int_data[[#This Row],[closes_alior]]-B102)/B102</f>
        <v>-6.6260270341903004E-3</v>
      </c>
      <c r="D103" s="2">
        <f>LN(int_data[[#This Row],[closes_alior]]/B102)</f>
        <v>-6.6480766059977053E-3</v>
      </c>
      <c r="E103">
        <v>133.16999999999999</v>
      </c>
      <c r="F103" s="2">
        <f>(int_data[[#This Row],[closes_ing]]-E102)/E102</f>
        <v>5.0566037735848115E-3</v>
      </c>
      <c r="G103" s="2">
        <f>LN(int_data[[#This Row],[closes_ing]]/E102)</f>
        <v>5.0438620877766172E-3</v>
      </c>
    </row>
    <row r="104" spans="1:7" x14ac:dyDescent="0.2">
      <c r="A104" s="1">
        <v>45029</v>
      </c>
      <c r="B104">
        <v>37.229999999999997</v>
      </c>
      <c r="C104" s="2">
        <f>(int_data[[#This Row],[closes_alior]]-B103)/B103</f>
        <v>-6.6702241195304166E-3</v>
      </c>
      <c r="D104" s="2">
        <f>LN(int_data[[#This Row],[closes_alior]]/B103)</f>
        <v>-6.692569485595933E-3</v>
      </c>
      <c r="E104">
        <v>133.84</v>
      </c>
      <c r="F104" s="2">
        <f>(int_data[[#This Row],[closes_ing]]-E103)/E103</f>
        <v>5.031163174889359E-3</v>
      </c>
      <c r="G104" s="2">
        <f>LN(int_data[[#This Row],[closes_ing]]/E103)</f>
        <v>5.0185491645151122E-3</v>
      </c>
    </row>
    <row r="105" spans="1:7" x14ac:dyDescent="0.2">
      <c r="A105" s="1">
        <v>45030</v>
      </c>
      <c r="B105">
        <v>36.19</v>
      </c>
      <c r="C105" s="2">
        <f>(int_data[[#This Row],[closes_alior]]-B104)/B104</f>
        <v>-2.7934461455815181E-2</v>
      </c>
      <c r="D105" s="2">
        <f>LN(int_data[[#This Row],[closes_alior]]/B104)</f>
        <v>-2.8332050308974389E-2</v>
      </c>
      <c r="E105">
        <v>131</v>
      </c>
      <c r="F105" s="2">
        <f>(int_data[[#This Row],[closes_ing]]-E104)/E104</f>
        <v>-2.1219366407650951E-2</v>
      </c>
      <c r="G105" s="2">
        <f>LN(int_data[[#This Row],[closes_ing]]/E104)</f>
        <v>-2.144773347741705E-2</v>
      </c>
    </row>
    <row r="106" spans="1:7" x14ac:dyDescent="0.2">
      <c r="A106" s="1">
        <v>45031</v>
      </c>
      <c r="B106">
        <v>36.79</v>
      </c>
      <c r="C106" s="2">
        <f>(int_data[[#This Row],[closes_alior]]-B105)/B105</f>
        <v>1.6579165515335767E-2</v>
      </c>
      <c r="D106" s="2">
        <f>LN(int_data[[#This Row],[closes_alior]]/B105)</f>
        <v>1.6443231541031975E-2</v>
      </c>
      <c r="E106">
        <v>134.16999999999999</v>
      </c>
      <c r="F106" s="2">
        <f>(int_data[[#This Row],[closes_ing]]-E105)/E105</f>
        <v>2.4198473282442654E-2</v>
      </c>
      <c r="G106" s="2">
        <f>LN(int_data[[#This Row],[closes_ing]]/E105)</f>
        <v>2.3910329401228749E-2</v>
      </c>
    </row>
    <row r="107" spans="1:7" x14ac:dyDescent="0.2">
      <c r="A107" s="1">
        <v>45032</v>
      </c>
      <c r="B107">
        <v>36.81</v>
      </c>
      <c r="C107" s="2">
        <f>(int_data[[#This Row],[closes_alior]]-B106)/B106</f>
        <v>5.4362598532218338E-4</v>
      </c>
      <c r="D107" s="2">
        <f>LN(int_data[[#This Row],[closes_alior]]/B106)</f>
        <v>5.4347827424687414E-4</v>
      </c>
      <c r="E107">
        <v>138.86000000000001</v>
      </c>
      <c r="F107" s="2">
        <f>(int_data[[#This Row],[closes_ing]]-E106)/E106</f>
        <v>3.4955653275695213E-2</v>
      </c>
      <c r="G107" s="2">
        <f>LN(int_data[[#This Row],[closes_ing]]/E106)</f>
        <v>3.4358578722747155E-2</v>
      </c>
    </row>
    <row r="108" spans="1:7" x14ac:dyDescent="0.2">
      <c r="A108" s="1">
        <v>45033</v>
      </c>
      <c r="B108">
        <v>36.51</v>
      </c>
      <c r="C108" s="2">
        <f>(int_data[[#This Row],[closes_alior]]-B107)/B107</f>
        <v>-8.1499592502038646E-3</v>
      </c>
      <c r="D108" s="2">
        <f>LN(int_data[[#This Row],[closes_alior]]/B107)</f>
        <v>-8.1833517233844133E-3</v>
      </c>
      <c r="E108">
        <v>144.55000000000001</v>
      </c>
      <c r="F108" s="2">
        <f>(int_data[[#This Row],[closes_ing]]-E107)/E107</f>
        <v>4.0976523116808279E-2</v>
      </c>
      <c r="G108" s="2">
        <f>LN(int_data[[#This Row],[closes_ing]]/E107)</f>
        <v>4.0159237137227674E-2</v>
      </c>
    </row>
    <row r="109" spans="1:7" x14ac:dyDescent="0.2">
      <c r="A109" s="1">
        <v>45034</v>
      </c>
      <c r="B109">
        <v>37.22</v>
      </c>
      <c r="C109" s="2">
        <f>(int_data[[#This Row],[closes_alior]]-B108)/B108</f>
        <v>1.9446726924130398E-2</v>
      </c>
      <c r="D109" s="2">
        <f>LN(int_data[[#This Row],[closes_alior]]/B108)</f>
        <v>1.9260055546559126E-2</v>
      </c>
      <c r="E109">
        <v>146.38999999999999</v>
      </c>
      <c r="F109" s="2">
        <f>(int_data[[#This Row],[closes_ing]]-E108)/E108</f>
        <v>1.2729159460394154E-2</v>
      </c>
      <c r="G109" s="2">
        <f>LN(int_data[[#This Row],[closes_ing]]/E108)</f>
        <v>1.264882472096524E-2</v>
      </c>
    </row>
    <row r="110" spans="1:7" x14ac:dyDescent="0.2">
      <c r="A110" s="1">
        <v>45035</v>
      </c>
      <c r="B110">
        <v>37.18</v>
      </c>
      <c r="C110" s="2">
        <f>(int_data[[#This Row],[closes_alior]]-B109)/B109</f>
        <v>-1.0746910263299072E-3</v>
      </c>
      <c r="D110" s="2">
        <f>LN(int_data[[#This Row],[closes_alior]]/B109)</f>
        <v>-1.0752689208067656E-3</v>
      </c>
      <c r="E110">
        <v>141.37</v>
      </c>
      <c r="F110" s="2">
        <f>(int_data[[#This Row],[closes_ing]]-E109)/E109</f>
        <v>-3.4291959833321825E-2</v>
      </c>
      <c r="G110" s="2">
        <f>LN(int_data[[#This Row],[closes_ing]]/E109)</f>
        <v>-3.4893726304379064E-2</v>
      </c>
    </row>
    <row r="111" spans="1:7" x14ac:dyDescent="0.2">
      <c r="A111" s="1">
        <v>45036</v>
      </c>
      <c r="B111">
        <v>37.454999999999998</v>
      </c>
      <c r="C111" s="2">
        <f>(int_data[[#This Row],[closes_alior]]-B110)/B110</f>
        <v>7.3964497041419733E-3</v>
      </c>
      <c r="D111" s="2">
        <f>LN(int_data[[#This Row],[closes_alior]]/B110)</f>
        <v>7.369230106548148E-3</v>
      </c>
      <c r="E111">
        <v>139.69499999999999</v>
      </c>
      <c r="F111" s="2">
        <f>(int_data[[#This Row],[closes_ing]]-E110)/E110</f>
        <v>-1.1848341232227569E-2</v>
      </c>
      <c r="G111" s="2">
        <f>LN(int_data[[#This Row],[closes_ing]]/E110)</f>
        <v>-1.1919092237210424E-2</v>
      </c>
    </row>
    <row r="112" spans="1:7" x14ac:dyDescent="0.2">
      <c r="A112" s="1">
        <v>45037</v>
      </c>
      <c r="B112">
        <v>37.729999999999997</v>
      </c>
      <c r="C112" s="2">
        <f>(int_data[[#This Row],[closes_alior]]-B111)/B111</f>
        <v>7.3421439060205205E-3</v>
      </c>
      <c r="D112" s="2">
        <f>LN(int_data[[#This Row],[closes_alior]]/B111)</f>
        <v>7.3153215763729152E-3</v>
      </c>
      <c r="E112">
        <v>138.02000000000001</v>
      </c>
      <c r="F112" s="2">
        <f>(int_data[[#This Row],[closes_ing]]-E111)/E111</f>
        <v>-1.199040767386079E-2</v>
      </c>
      <c r="G112" s="2">
        <f>LN(int_data[[#This Row],[closes_ing]]/E111)</f>
        <v>-1.2062872449274984E-2</v>
      </c>
    </row>
    <row r="113" spans="1:7" x14ac:dyDescent="0.2">
      <c r="A113" s="1">
        <v>45038</v>
      </c>
      <c r="B113">
        <v>36.700000000000003</v>
      </c>
      <c r="C113" s="2">
        <f>(int_data[[#This Row],[closes_alior]]-B112)/B112</f>
        <v>-2.7299231380863879E-2</v>
      </c>
      <c r="D113" s="2">
        <f>LN(int_data[[#This Row],[closes_alior]]/B112)</f>
        <v>-2.7678778915694341E-2</v>
      </c>
      <c r="E113">
        <v>138.19</v>
      </c>
      <c r="F113" s="2">
        <f>(int_data[[#This Row],[closes_ing]]-E112)/E112</f>
        <v>1.2317055499202108E-3</v>
      </c>
      <c r="G113" s="2">
        <f>LN(int_data[[#This Row],[closes_ing]]/E112)</f>
        <v>1.2309476229374712E-3</v>
      </c>
    </row>
    <row r="114" spans="1:7" x14ac:dyDescent="0.2">
      <c r="A114" s="1">
        <v>45039</v>
      </c>
      <c r="B114">
        <v>36.734999999999999</v>
      </c>
      <c r="C114" s="2">
        <f>(int_data[[#This Row],[closes_alior]]-B113)/B113</f>
        <v>9.5367847411434838E-4</v>
      </c>
      <c r="D114" s="2">
        <f>LN(int_data[[#This Row],[closes_alior]]/B113)</f>
        <v>9.5322401171615281E-4</v>
      </c>
      <c r="E114">
        <v>138.86000000000001</v>
      </c>
      <c r="F114" s="2">
        <f>(int_data[[#This Row],[closes_ing]]-E113)/E113</f>
        <v>4.8483971343803167E-3</v>
      </c>
      <c r="G114" s="2">
        <f>LN(int_data[[#This Row],[closes_ing]]/E113)</f>
        <v>4.8366815097340551E-3</v>
      </c>
    </row>
    <row r="115" spans="1:7" x14ac:dyDescent="0.2">
      <c r="A115" s="1">
        <v>45040</v>
      </c>
      <c r="B115">
        <v>36.770000000000003</v>
      </c>
      <c r="C115" s="2">
        <f>(int_data[[#This Row],[closes_alior]]-B114)/B114</f>
        <v>9.5276983802922816E-4</v>
      </c>
      <c r="D115" s="2">
        <f>LN(int_data[[#This Row],[closes_alior]]/B114)</f>
        <v>9.523162409399231E-4</v>
      </c>
      <c r="E115">
        <v>139.53</v>
      </c>
      <c r="F115" s="2">
        <f>(int_data[[#This Row],[closes_ing]]-E114)/E114</f>
        <v>4.8250036007488652E-3</v>
      </c>
      <c r="G115" s="2">
        <f>LN(int_data[[#This Row],[closes_ing]]/E114)</f>
        <v>4.813400578987952E-3</v>
      </c>
    </row>
    <row r="116" spans="1:7" x14ac:dyDescent="0.2">
      <c r="A116" s="1">
        <v>45041</v>
      </c>
      <c r="B116">
        <v>36.450000000000003</v>
      </c>
      <c r="C116" s="2">
        <f>(int_data[[#This Row],[closes_alior]]-B115)/B115</f>
        <v>-8.7027468044601642E-3</v>
      </c>
      <c r="D116" s="2">
        <f>LN(int_data[[#This Row],[closes_alior]]/B115)</f>
        <v>-8.7408368585134739E-3</v>
      </c>
      <c r="E116">
        <v>143.38</v>
      </c>
      <c r="F116" s="2">
        <f>(int_data[[#This Row],[closes_ing]]-E115)/E115</f>
        <v>2.7592632408800933E-2</v>
      </c>
      <c r="G116" s="2">
        <f>LN(int_data[[#This Row],[closes_ing]]/E115)</f>
        <v>2.7218816520610808E-2</v>
      </c>
    </row>
    <row r="117" spans="1:7" x14ac:dyDescent="0.2">
      <c r="A117" s="1">
        <v>45042</v>
      </c>
      <c r="B117">
        <v>36.86</v>
      </c>
      <c r="C117" s="2">
        <f>(int_data[[#This Row],[closes_alior]]-B116)/B116</f>
        <v>1.1248285322359303E-2</v>
      </c>
      <c r="D117" s="2">
        <f>LN(int_data[[#This Row],[closes_alior]]/B116)</f>
        <v>1.1185493787009894E-2</v>
      </c>
      <c r="E117">
        <v>141.03</v>
      </c>
      <c r="F117" s="2">
        <f>(int_data[[#This Row],[closes_ing]]-E116)/E116</f>
        <v>-1.639001255405213E-2</v>
      </c>
      <c r="G117" s="2">
        <f>LN(int_data[[#This Row],[closes_ing]]/E116)</f>
        <v>-1.6525814720577309E-2</v>
      </c>
    </row>
    <row r="118" spans="1:7" x14ac:dyDescent="0.2">
      <c r="A118" s="1">
        <v>45043</v>
      </c>
      <c r="B118">
        <v>37.9</v>
      </c>
      <c r="C118" s="2">
        <f>(int_data[[#This Row],[closes_alior]]-B117)/B117</f>
        <v>2.8214867064568615E-2</v>
      </c>
      <c r="D118" s="2">
        <f>LN(int_data[[#This Row],[closes_alior]]/B117)</f>
        <v>2.7824159846703354E-2</v>
      </c>
      <c r="E118">
        <v>143.71</v>
      </c>
      <c r="F118" s="2">
        <f>(int_data[[#This Row],[closes_ing]]-E117)/E117</f>
        <v>1.9003048996667424E-2</v>
      </c>
      <c r="G118" s="2">
        <f>LN(int_data[[#This Row],[closes_ing]]/E117)</f>
        <v>1.882474638200678E-2</v>
      </c>
    </row>
    <row r="119" spans="1:7" x14ac:dyDescent="0.2">
      <c r="A119" s="1">
        <v>45044</v>
      </c>
      <c r="B119">
        <v>38.159999999999997</v>
      </c>
      <c r="C119" s="2">
        <f>(int_data[[#This Row],[closes_alior]]-B118)/B118</f>
        <v>6.8601583113455942E-3</v>
      </c>
      <c r="D119" s="2">
        <f>LN(int_data[[#This Row],[closes_alior]]/B118)</f>
        <v>6.8367344917051433E-3</v>
      </c>
      <c r="E119">
        <v>146.88999999999999</v>
      </c>
      <c r="F119" s="2">
        <f>(int_data[[#This Row],[closes_ing]]-E118)/E118</f>
        <v>2.2127896458144725E-2</v>
      </c>
      <c r="G119" s="2">
        <f>LN(int_data[[#This Row],[closes_ing]]/E118)</f>
        <v>2.1886627257167727E-2</v>
      </c>
    </row>
    <row r="120" spans="1:7" x14ac:dyDescent="0.2">
      <c r="A120" s="1">
        <v>45045</v>
      </c>
      <c r="B120">
        <v>38.450000000000003</v>
      </c>
      <c r="C120" s="2">
        <f>(int_data[[#This Row],[closes_alior]]-B119)/B119</f>
        <v>7.5995807127884245E-3</v>
      </c>
      <c r="D120" s="2">
        <f>LN(int_data[[#This Row],[closes_alior]]/B119)</f>
        <v>7.5708493715673768E-3</v>
      </c>
      <c r="E120">
        <v>148.9</v>
      </c>
      <c r="F120" s="2">
        <f>(int_data[[#This Row],[closes_ing]]-E119)/E119</f>
        <v>1.3683708897814824E-2</v>
      </c>
      <c r="G120" s="2">
        <f>LN(int_data[[#This Row],[closes_ing]]/E119)</f>
        <v>1.3590932346639903E-2</v>
      </c>
    </row>
    <row r="121" spans="1:7" x14ac:dyDescent="0.2">
      <c r="A121" s="1">
        <v>45046</v>
      </c>
      <c r="B121">
        <v>37.18</v>
      </c>
      <c r="C121" s="2">
        <f>(int_data[[#This Row],[closes_alior]]-B120)/B120</f>
        <v>-3.3029908972691889E-2</v>
      </c>
      <c r="D121" s="2">
        <f>LN(int_data[[#This Row],[closes_alior]]/B120)</f>
        <v>-3.3587713658355084E-2</v>
      </c>
      <c r="E121">
        <v>142.37</v>
      </c>
      <c r="F121" s="2">
        <f>(int_data[[#This Row],[closes_ing]]-E120)/E120</f>
        <v>-4.385493619879114E-2</v>
      </c>
      <c r="G121" s="2">
        <f>LN(int_data[[#This Row],[closes_ing]]/E120)</f>
        <v>-4.4845637064308844E-2</v>
      </c>
    </row>
    <row r="122" spans="1:7" x14ac:dyDescent="0.2">
      <c r="A122" s="1">
        <v>45047</v>
      </c>
      <c r="B122">
        <v>37.51</v>
      </c>
      <c r="C122" s="2">
        <f>(int_data[[#This Row],[closes_alior]]-B121)/B121</f>
        <v>8.8757396449703676E-3</v>
      </c>
      <c r="D122" s="2">
        <f>LN(int_data[[#This Row],[closes_alior]]/B121)</f>
        <v>8.8365818004979436E-3</v>
      </c>
      <c r="E122">
        <v>142.285</v>
      </c>
      <c r="F122" s="2">
        <f>(int_data[[#This Row],[closes_ing]]-E121)/E121</f>
        <v>-5.9703589239311621E-4</v>
      </c>
      <c r="G122" s="2">
        <f>LN(int_data[[#This Row],[closes_ing]]/E121)</f>
        <v>-5.9721418929149404E-4</v>
      </c>
    </row>
    <row r="123" spans="1:7" x14ac:dyDescent="0.2">
      <c r="A123" s="1">
        <v>45048</v>
      </c>
      <c r="B123">
        <v>37.840000000000003</v>
      </c>
      <c r="C123" s="2">
        <f>(int_data[[#This Row],[closes_alior]]-B122)/B122</f>
        <v>8.7976539589444264E-3</v>
      </c>
      <c r="D123" s="2">
        <f>LN(int_data[[#This Row],[closes_alior]]/B122)</f>
        <v>8.759180089881774E-3</v>
      </c>
      <c r="E123">
        <v>142.19999999999999</v>
      </c>
      <c r="F123" s="2">
        <f>(int_data[[#This Row],[closes_ing]]-E122)/E122</f>
        <v>-5.9739255719160815E-4</v>
      </c>
      <c r="G123" s="2">
        <f>LN(int_data[[#This Row],[closes_ing]]/E122)</f>
        <v>-5.9757106722254413E-4</v>
      </c>
    </row>
    <row r="124" spans="1:7" x14ac:dyDescent="0.2">
      <c r="A124" s="1">
        <v>45049</v>
      </c>
      <c r="B124">
        <v>38.49</v>
      </c>
      <c r="C124" s="2">
        <f>(int_data[[#This Row],[closes_alior]]-B123)/B123</f>
        <v>1.7177589852008419E-2</v>
      </c>
      <c r="D124" s="2">
        <f>LN(int_data[[#This Row],[closes_alior]]/B123)</f>
        <v>1.7031723111977114E-2</v>
      </c>
      <c r="E124">
        <v>142.71</v>
      </c>
      <c r="F124" s="2">
        <f>(int_data[[#This Row],[closes_ing]]-E123)/E123</f>
        <v>3.586497890295495E-3</v>
      </c>
      <c r="G124" s="2">
        <f>LN(int_data[[#This Row],[closes_ing]]/E123)</f>
        <v>3.5800817431594686E-3</v>
      </c>
    </row>
    <row r="125" spans="1:7" x14ac:dyDescent="0.2">
      <c r="A125" s="1">
        <v>45050</v>
      </c>
      <c r="B125">
        <v>38.195</v>
      </c>
      <c r="C125" s="2">
        <f>(int_data[[#This Row],[closes_alior]]-B124)/B124</f>
        <v>-7.6643283969862743E-3</v>
      </c>
      <c r="D125" s="2">
        <f>LN(int_data[[#This Row],[closes_alior]]/B124)</f>
        <v>-7.6938503023317737E-3</v>
      </c>
      <c r="E125">
        <v>141.62</v>
      </c>
      <c r="F125" s="2">
        <f>(int_data[[#This Row],[closes_ing]]-E124)/E124</f>
        <v>-7.6378670030131266E-3</v>
      </c>
      <c r="G125" s="2">
        <f>LN(int_data[[#This Row],[closes_ing]]/E124)</f>
        <v>-7.6671848886719742E-3</v>
      </c>
    </row>
    <row r="126" spans="1:7" x14ac:dyDescent="0.2">
      <c r="A126" s="1">
        <v>45051</v>
      </c>
      <c r="B126">
        <v>37.9</v>
      </c>
      <c r="C126" s="2">
        <f>(int_data[[#This Row],[closes_alior]]-B125)/B125</f>
        <v>-7.7235240214688231E-3</v>
      </c>
      <c r="D126" s="2">
        <f>LN(int_data[[#This Row],[closes_alior]]/B125)</f>
        <v>-7.7535049049423889E-3</v>
      </c>
      <c r="E126">
        <v>140.53</v>
      </c>
      <c r="F126" s="2">
        <f>(int_data[[#This Row],[closes_ing]]-E125)/E125</f>
        <v>-7.6966530151108842E-3</v>
      </c>
      <c r="G126" s="2">
        <f>LN(int_data[[#This Row],[closes_ing]]/E125)</f>
        <v>-7.7264251109742978E-3</v>
      </c>
    </row>
    <row r="127" spans="1:7" x14ac:dyDescent="0.2">
      <c r="A127" s="1">
        <v>45052</v>
      </c>
      <c r="B127">
        <v>36.869999999999997</v>
      </c>
      <c r="C127" s="2">
        <f>(int_data[[#This Row],[closes_alior]]-B126)/B126</f>
        <v>-2.7176781002638553E-2</v>
      </c>
      <c r="D127" s="2">
        <f>LN(int_data[[#This Row],[closes_alior]]/B126)</f>
        <v>-2.7552899842327536E-2</v>
      </c>
      <c r="E127">
        <v>140.69999999999999</v>
      </c>
      <c r="F127" s="2">
        <f>(int_data[[#This Row],[closes_ing]]-E126)/E126</f>
        <v>1.2097061125737386E-3</v>
      </c>
      <c r="G127" s="2">
        <f>LN(int_data[[#This Row],[closes_ing]]/E126)</f>
        <v>1.2089750076896596E-3</v>
      </c>
    </row>
    <row r="128" spans="1:7" x14ac:dyDescent="0.2">
      <c r="A128" s="1">
        <v>45053</v>
      </c>
      <c r="B128">
        <v>35.14</v>
      </c>
      <c r="C128" s="2">
        <f>(int_data[[#This Row],[closes_alior]]-B127)/B127</f>
        <v>-4.6921616490371493E-2</v>
      </c>
      <c r="D128" s="2">
        <f>LN(int_data[[#This Row],[closes_alior]]/B127)</f>
        <v>-4.8058129487101954E-2</v>
      </c>
      <c r="E128">
        <v>136.68</v>
      </c>
      <c r="F128" s="2">
        <f>(int_data[[#This Row],[closes_ing]]-E127)/E127</f>
        <v>-2.8571428571428446E-2</v>
      </c>
      <c r="G128" s="2">
        <f>LN(int_data[[#This Row],[closes_ing]]/E127)</f>
        <v>-2.8987536873252187E-2</v>
      </c>
    </row>
    <row r="129" spans="1:7" x14ac:dyDescent="0.2">
      <c r="A129" s="1">
        <v>45054</v>
      </c>
      <c r="B129">
        <v>36.15</v>
      </c>
      <c r="C129" s="2">
        <f>(int_data[[#This Row],[closes_alior]]-B128)/B128</f>
        <v>2.8742174160500795E-2</v>
      </c>
      <c r="D129" s="2">
        <f>LN(int_data[[#This Row],[closes_alior]]/B128)</f>
        <v>2.8336865845822443E-2</v>
      </c>
      <c r="E129">
        <v>139.53</v>
      </c>
      <c r="F129" s="2">
        <f>(int_data[[#This Row],[closes_ing]]-E128)/E128</f>
        <v>2.0851624231782221E-2</v>
      </c>
      <c r="G129" s="2">
        <f>LN(int_data[[#This Row],[closes_ing]]/E128)</f>
        <v>2.0637204657024209E-2</v>
      </c>
    </row>
    <row r="130" spans="1:7" x14ac:dyDescent="0.2">
      <c r="A130" s="1">
        <v>45055</v>
      </c>
      <c r="B130">
        <v>38.67</v>
      </c>
      <c r="C130" s="2">
        <f>(int_data[[#This Row],[closes_alior]]-B129)/B129</f>
        <v>6.9709543568464816E-2</v>
      </c>
      <c r="D130" s="2">
        <f>LN(int_data[[#This Row],[closes_alior]]/B129)</f>
        <v>6.7387157014432195E-2</v>
      </c>
      <c r="E130">
        <v>143.04</v>
      </c>
      <c r="F130" s="2">
        <f>(int_data[[#This Row],[closes_ing]]-E129)/E129</f>
        <v>2.5155880455815887E-2</v>
      </c>
      <c r="G130" s="2">
        <f>LN(int_data[[#This Row],[closes_ing]]/E129)</f>
        <v>2.4844679521088573E-2</v>
      </c>
    </row>
    <row r="131" spans="1:7" x14ac:dyDescent="0.2">
      <c r="A131" s="1">
        <v>45056</v>
      </c>
      <c r="B131">
        <v>38.67</v>
      </c>
      <c r="C131" s="2">
        <f>(int_data[[#This Row],[closes_alior]]-B130)/B130</f>
        <v>0</v>
      </c>
      <c r="D131" s="2">
        <f>LN(int_data[[#This Row],[closes_alior]]/B130)</f>
        <v>0</v>
      </c>
      <c r="E131">
        <v>140.87</v>
      </c>
      <c r="F131" s="2">
        <f>(int_data[[#This Row],[closes_ing]]-E130)/E130</f>
        <v>-1.5170581655480898E-2</v>
      </c>
      <c r="G131" s="2">
        <f>LN(int_data[[#This Row],[closes_ing]]/E130)</f>
        <v>-1.5286832152988454E-2</v>
      </c>
    </row>
    <row r="132" spans="1:7" x14ac:dyDescent="0.2">
      <c r="A132" s="1">
        <v>45057</v>
      </c>
      <c r="B132">
        <v>40.380000000000003</v>
      </c>
      <c r="C132" s="2">
        <f>(int_data[[#This Row],[closes_alior]]-B131)/B131</f>
        <v>4.4220325833979848E-2</v>
      </c>
      <c r="D132" s="2">
        <f>LN(int_data[[#This Row],[closes_alior]]/B131)</f>
        <v>4.3270507265485834E-2</v>
      </c>
      <c r="E132">
        <v>141.37</v>
      </c>
      <c r="F132" s="2">
        <f>(int_data[[#This Row],[closes_ing]]-E131)/E131</f>
        <v>3.549371761198268E-3</v>
      </c>
      <c r="G132" s="2">
        <f>LN(int_data[[#This Row],[closes_ing]]/E131)</f>
        <v>3.5430876067257333E-3</v>
      </c>
    </row>
    <row r="133" spans="1:7" x14ac:dyDescent="0.2">
      <c r="A133" s="1">
        <v>45058</v>
      </c>
      <c r="B133">
        <v>39.79</v>
      </c>
      <c r="C133" s="2">
        <f>(int_data[[#This Row],[closes_alior]]-B132)/B132</f>
        <v>-1.4611193660227919E-2</v>
      </c>
      <c r="D133" s="2">
        <f>LN(int_data[[#This Row],[closes_alior]]/B132)</f>
        <v>-1.4718988445854227E-2</v>
      </c>
      <c r="E133">
        <v>141.37</v>
      </c>
      <c r="F133" s="2">
        <f>(int_data[[#This Row],[closes_ing]]-E132)/E132</f>
        <v>0</v>
      </c>
      <c r="G133" s="2">
        <f>LN(int_data[[#This Row],[closes_ing]]/E132)</f>
        <v>0</v>
      </c>
    </row>
    <row r="134" spans="1:7" x14ac:dyDescent="0.2">
      <c r="A134" s="1">
        <v>45059</v>
      </c>
      <c r="B134">
        <v>39.200000000000003</v>
      </c>
      <c r="C134" s="2">
        <f>(int_data[[#This Row],[closes_alior]]-B133)/B133</f>
        <v>-1.4827846192510588E-2</v>
      </c>
      <c r="D134" s="2">
        <f>LN(int_data[[#This Row],[closes_alior]]/B133)</f>
        <v>-1.4938877642420273E-2</v>
      </c>
      <c r="E134">
        <v>141.37</v>
      </c>
      <c r="F134" s="2">
        <f>(int_data[[#This Row],[closes_ing]]-E133)/E133</f>
        <v>0</v>
      </c>
      <c r="G134" s="2">
        <f>LN(int_data[[#This Row],[closes_ing]]/E133)</f>
        <v>0</v>
      </c>
    </row>
    <row r="135" spans="1:7" x14ac:dyDescent="0.2">
      <c r="A135" s="1">
        <v>45060</v>
      </c>
      <c r="B135">
        <v>39.6</v>
      </c>
      <c r="C135" s="2">
        <f>(int_data[[#This Row],[closes_alior]]-B134)/B134</f>
        <v>1.0204081632653024E-2</v>
      </c>
      <c r="D135" s="2">
        <f>LN(int_data[[#This Row],[closes_alior]]/B134)</f>
        <v>1.0152371464017908E-2</v>
      </c>
      <c r="E135">
        <v>141.03</v>
      </c>
      <c r="F135" s="2">
        <f>(int_data[[#This Row],[closes_ing]]-E134)/E134</f>
        <v>-2.4050364292282902E-3</v>
      </c>
      <c r="G135" s="2">
        <f>LN(int_data[[#This Row],[closes_ing]]/E134)</f>
        <v>-2.4079331747923695E-3</v>
      </c>
    </row>
    <row r="136" spans="1:7" x14ac:dyDescent="0.2">
      <c r="A136" s="1">
        <v>45061</v>
      </c>
      <c r="B136">
        <v>39.115000000000002</v>
      </c>
      <c r="C136" s="2">
        <f>(int_data[[#This Row],[closes_alior]]-B135)/B135</f>
        <v>-1.2247474747474733E-2</v>
      </c>
      <c r="D136" s="2">
        <f>LN(int_data[[#This Row],[closes_alior]]/B135)</f>
        <v>-1.2323093123390947E-2</v>
      </c>
      <c r="E136">
        <v>141.44999999999999</v>
      </c>
      <c r="F136" s="2">
        <f>(int_data[[#This Row],[closes_ing]]-E135)/E135</f>
        <v>2.978089768134351E-3</v>
      </c>
      <c r="G136" s="2">
        <f>LN(int_data[[#This Row],[closes_ing]]/E135)</f>
        <v>2.9736640434273169E-3</v>
      </c>
    </row>
    <row r="137" spans="1:7" x14ac:dyDescent="0.2">
      <c r="A137" s="1">
        <v>45062</v>
      </c>
      <c r="B137">
        <v>38.630000000000003</v>
      </c>
      <c r="C137" s="2">
        <f>(int_data[[#This Row],[closes_alior]]-B136)/B136</f>
        <v>-1.2399335293365701E-2</v>
      </c>
      <c r="D137" s="2">
        <f>LN(int_data[[#This Row],[closes_alior]]/B136)</f>
        <v>-1.2476848458853974E-2</v>
      </c>
      <c r="E137">
        <v>141.87</v>
      </c>
      <c r="F137" s="2">
        <f>(int_data[[#This Row],[closes_ing]]-E136)/E136</f>
        <v>2.9692470837752983E-3</v>
      </c>
      <c r="G137" s="2">
        <f>LN(int_data[[#This Row],[closes_ing]]/E136)</f>
        <v>2.9648475763179422E-3</v>
      </c>
    </row>
    <row r="138" spans="1:7" x14ac:dyDescent="0.2">
      <c r="A138" s="1">
        <v>45063</v>
      </c>
      <c r="B138">
        <v>37.729999999999997</v>
      </c>
      <c r="C138" s="2">
        <f>(int_data[[#This Row],[closes_alior]]-B137)/B137</f>
        <v>-2.3297954957287228E-2</v>
      </c>
      <c r="D138" s="2">
        <f>LN(int_data[[#This Row],[closes_alior]]/B137)</f>
        <v>-2.3573642701971025E-2</v>
      </c>
      <c r="E138">
        <v>138.02000000000001</v>
      </c>
      <c r="F138" s="2">
        <f>(int_data[[#This Row],[closes_ing]]-E137)/E137</f>
        <v>-2.7137520265031325E-2</v>
      </c>
      <c r="G138" s="2">
        <f>LN(int_data[[#This Row],[closes_ing]]/E137)</f>
        <v>-2.7512543131438319E-2</v>
      </c>
    </row>
    <row r="139" spans="1:7" x14ac:dyDescent="0.2">
      <c r="A139" s="1">
        <v>45064</v>
      </c>
      <c r="B139">
        <v>39.31</v>
      </c>
      <c r="C139" s="2">
        <f>(int_data[[#This Row],[closes_alior]]-B138)/B138</f>
        <v>4.1876490856082839E-2</v>
      </c>
      <c r="D139" s="2">
        <f>LN(int_data[[#This Row],[closes_alior]]/B138)</f>
        <v>4.102340545755008E-2</v>
      </c>
      <c r="E139">
        <v>141.37</v>
      </c>
      <c r="F139" s="2">
        <f>(int_data[[#This Row],[closes_ing]]-E138)/E138</f>
        <v>2.4271844660194133E-2</v>
      </c>
      <c r="G139" s="2">
        <f>LN(int_data[[#This Row],[closes_ing]]/E138)</f>
        <v>2.3981964686485405E-2</v>
      </c>
    </row>
    <row r="140" spans="1:7" x14ac:dyDescent="0.2">
      <c r="A140" s="1">
        <v>45065</v>
      </c>
      <c r="B140">
        <v>39.51</v>
      </c>
      <c r="C140" s="2">
        <f>(int_data[[#This Row],[closes_alior]]-B139)/B139</f>
        <v>5.0877639277536434E-3</v>
      </c>
      <c r="D140" s="2">
        <f>LN(int_data[[#This Row],[closes_alior]]/B139)</f>
        <v>5.0748649895302226E-3</v>
      </c>
      <c r="E140">
        <v>145.38</v>
      </c>
      <c r="F140" s="2">
        <f>(int_data[[#This Row],[closes_ing]]-E139)/E139</f>
        <v>2.836528259178037E-2</v>
      </c>
      <c r="G140" s="2">
        <f>LN(int_data[[#This Row],[closes_ing]]/E139)</f>
        <v>2.7970437177548137E-2</v>
      </c>
    </row>
    <row r="141" spans="1:7" x14ac:dyDescent="0.2">
      <c r="A141" s="1">
        <v>45066</v>
      </c>
      <c r="B141">
        <v>39.92</v>
      </c>
      <c r="C141" s="2">
        <f>(int_data[[#This Row],[closes_alior]]-B140)/B140</f>
        <v>1.0377119716527555E-2</v>
      </c>
      <c r="D141" s="2">
        <f>LN(int_data[[#This Row],[closes_alior]]/B140)</f>
        <v>1.0323647019964058E-2</v>
      </c>
      <c r="E141">
        <v>146.88999999999999</v>
      </c>
      <c r="F141" s="2">
        <f>(int_data[[#This Row],[closes_ing]]-E140)/E140</f>
        <v>1.0386573118723284E-2</v>
      </c>
      <c r="G141" s="2">
        <f>LN(int_data[[#This Row],[closes_ing]]/E140)</f>
        <v>1.0333003286834154E-2</v>
      </c>
    </row>
    <row r="142" spans="1:7" x14ac:dyDescent="0.2">
      <c r="A142" s="1">
        <v>45067</v>
      </c>
      <c r="B142">
        <v>40.049999999999997</v>
      </c>
      <c r="C142" s="2">
        <f>(int_data[[#This Row],[closes_alior]]-B141)/B141</f>
        <v>3.2565130260519904E-3</v>
      </c>
      <c r="D142" s="2">
        <f>LN(int_data[[#This Row],[closes_alior]]/B141)</f>
        <v>3.2512220711049086E-3</v>
      </c>
      <c r="E142">
        <v>151.24</v>
      </c>
      <c r="F142" s="2">
        <f>(int_data[[#This Row],[closes_ing]]-E141)/E141</f>
        <v>2.9613996868405087E-2</v>
      </c>
      <c r="G142" s="2">
        <f>LN(int_data[[#This Row],[closes_ing]]/E141)</f>
        <v>2.918397167940873E-2</v>
      </c>
    </row>
    <row r="143" spans="1:7" x14ac:dyDescent="0.2">
      <c r="A143" s="1">
        <v>45068</v>
      </c>
      <c r="B143">
        <v>39.869999999999997</v>
      </c>
      <c r="C143" s="2">
        <f>(int_data[[#This Row],[closes_alior]]-B142)/B142</f>
        <v>-4.4943820224719036E-3</v>
      </c>
      <c r="D143" s="2">
        <f>LN(int_data[[#This Row],[closes_alior]]/B142)</f>
        <v>-4.5045121211045409E-3</v>
      </c>
      <c r="E143">
        <v>152.74</v>
      </c>
      <c r="F143" s="2">
        <f>(int_data[[#This Row],[closes_ing]]-E142)/E142</f>
        <v>9.9180111081724406E-3</v>
      </c>
      <c r="G143" s="2">
        <f>LN(int_data[[#This Row],[closes_ing]]/E142)</f>
        <v>9.8691504375059934E-3</v>
      </c>
    </row>
    <row r="144" spans="1:7" x14ac:dyDescent="0.2">
      <c r="A144" s="1">
        <v>45069</v>
      </c>
      <c r="B144">
        <v>40.424999999999997</v>
      </c>
      <c r="C144" s="2">
        <f>(int_data[[#This Row],[closes_alior]]-B143)/B143</f>
        <v>1.392024078254326E-2</v>
      </c>
      <c r="D144" s="2">
        <f>LN(int_data[[#This Row],[closes_alior]]/B143)</f>
        <v>1.3824244069906795E-2</v>
      </c>
      <c r="E144">
        <v>152.07499999999999</v>
      </c>
      <c r="F144" s="2">
        <f>(int_data[[#This Row],[closes_ing]]-E143)/E143</f>
        <v>-4.3538038496793267E-3</v>
      </c>
      <c r="G144" s="2">
        <f>LN(int_data[[#This Row],[closes_ing]]/E143)</f>
        <v>-4.3633092534691477E-3</v>
      </c>
    </row>
    <row r="145" spans="1:7" x14ac:dyDescent="0.2">
      <c r="A145" s="1">
        <v>45070</v>
      </c>
      <c r="B145">
        <v>40.98</v>
      </c>
      <c r="C145" s="2">
        <f>(int_data[[#This Row],[closes_alior]]-B144)/B144</f>
        <v>1.3729128014842294E-2</v>
      </c>
      <c r="D145" s="2">
        <f>LN(int_data[[#This Row],[closes_alior]]/B144)</f>
        <v>1.3635737347583237E-2</v>
      </c>
      <c r="E145">
        <v>151.41</v>
      </c>
      <c r="F145" s="2">
        <f>(int_data[[#This Row],[closes_ing]]-E144)/E144</f>
        <v>-4.3728423475258398E-3</v>
      </c>
      <c r="G145" s="2">
        <f>LN(int_data[[#This Row],[closes_ing]]/E144)</f>
        <v>-4.3824311864883291E-3</v>
      </c>
    </row>
    <row r="146" spans="1:7" x14ac:dyDescent="0.2">
      <c r="A146" s="1">
        <v>45071</v>
      </c>
      <c r="B146">
        <v>40.869999999999997</v>
      </c>
      <c r="C146" s="2">
        <f>(int_data[[#This Row],[closes_alior]]-B145)/B145</f>
        <v>-2.6842362127867114E-3</v>
      </c>
      <c r="D146" s="2">
        <f>LN(int_data[[#This Row],[closes_alior]]/B145)</f>
        <v>-2.6878452345677141E-3</v>
      </c>
      <c r="E146">
        <v>150.07</v>
      </c>
      <c r="F146" s="2">
        <f>(int_data[[#This Row],[closes_ing]]-E145)/E145</f>
        <v>-8.8501419985470148E-3</v>
      </c>
      <c r="G146" s="2">
        <f>LN(int_data[[#This Row],[closes_ing]]/E145)</f>
        <v>-8.8895371123825506E-3</v>
      </c>
    </row>
    <row r="147" spans="1:7" x14ac:dyDescent="0.2">
      <c r="A147" s="1">
        <v>45072</v>
      </c>
      <c r="B147">
        <v>40.125</v>
      </c>
      <c r="C147" s="2">
        <f>(int_data[[#This Row],[closes_alior]]-B146)/B146</f>
        <v>-1.8228529483728835E-2</v>
      </c>
      <c r="D147" s="2">
        <f>LN(int_data[[#This Row],[closes_alior]]/B146)</f>
        <v>-1.8396716126005991E-2</v>
      </c>
      <c r="E147">
        <v>147.38999999999999</v>
      </c>
      <c r="F147" s="2">
        <f>(int_data[[#This Row],[closes_ing]]-E146)/E146</f>
        <v>-1.7858332778036962E-2</v>
      </c>
      <c r="G147" s="2">
        <f>LN(int_data[[#This Row],[closes_ing]]/E146)</f>
        <v>-1.8019717059231683E-2</v>
      </c>
    </row>
    <row r="148" spans="1:7" x14ac:dyDescent="0.2">
      <c r="A148" s="1">
        <v>45073</v>
      </c>
      <c r="B148">
        <v>39.380000000000003</v>
      </c>
      <c r="C148" s="2">
        <f>(int_data[[#This Row],[closes_alior]]-B147)/B147</f>
        <v>-1.8566978193146354E-2</v>
      </c>
      <c r="D148" s="2">
        <f>LN(int_data[[#This Row],[closes_alior]]/B147)</f>
        <v>-1.8741508239200379E-2</v>
      </c>
      <c r="E148">
        <v>144.71</v>
      </c>
      <c r="F148" s="2">
        <f>(int_data[[#This Row],[closes_ing]]-E147)/E147</f>
        <v>-1.8183051767419627E-2</v>
      </c>
      <c r="G148" s="2">
        <f>LN(int_data[[#This Row],[closes_ing]]/E147)</f>
        <v>-1.8350395098765099E-2</v>
      </c>
    </row>
    <row r="149" spans="1:7" x14ac:dyDescent="0.2">
      <c r="A149" s="1">
        <v>45074</v>
      </c>
      <c r="B149">
        <v>41.14</v>
      </c>
      <c r="C149" s="2">
        <f>(int_data[[#This Row],[closes_alior]]-B148)/B148</f>
        <v>4.4692737430167544E-2</v>
      </c>
      <c r="D149" s="2">
        <f>LN(int_data[[#This Row],[closes_alior]]/B148)</f>
        <v>4.3722811013831582E-2</v>
      </c>
      <c r="E149">
        <v>150.57</v>
      </c>
      <c r="F149" s="2">
        <f>(int_data[[#This Row],[closes_ing]]-E148)/E148</f>
        <v>4.0494782668785742E-2</v>
      </c>
      <c r="G149" s="2">
        <f>LN(int_data[[#This Row],[closes_ing]]/E148)</f>
        <v>3.969635258505063E-2</v>
      </c>
    </row>
    <row r="150" spans="1:7" x14ac:dyDescent="0.2">
      <c r="A150" s="1">
        <v>45075</v>
      </c>
      <c r="B150">
        <v>40.869999999999997</v>
      </c>
      <c r="C150" s="2">
        <f>(int_data[[#This Row],[closes_alior]]-B149)/B149</f>
        <v>-6.562955760816799E-3</v>
      </c>
      <c r="D150" s="2">
        <f>LN(int_data[[#This Row],[closes_alior]]/B149)</f>
        <v>-6.5845866486252264E-3</v>
      </c>
      <c r="E150">
        <v>148.56</v>
      </c>
      <c r="F150" s="2">
        <f>(int_data[[#This Row],[closes_ing]]-E149)/E149</f>
        <v>-1.3349272763498645E-2</v>
      </c>
      <c r="G150" s="2">
        <f>LN(int_data[[#This Row],[closes_ing]]/E149)</f>
        <v>-1.3439175290501548E-2</v>
      </c>
    </row>
    <row r="151" spans="1:7" x14ac:dyDescent="0.2">
      <c r="A151" s="1">
        <v>45076</v>
      </c>
      <c r="B151">
        <v>41.12</v>
      </c>
      <c r="C151" s="2">
        <f>(int_data[[#This Row],[closes_alior]]-B150)/B150</f>
        <v>6.1169562025935901E-3</v>
      </c>
      <c r="D151" s="2">
        <f>LN(int_data[[#This Row],[closes_alior]]/B150)</f>
        <v>6.0983235707236984E-3</v>
      </c>
      <c r="E151">
        <v>147.72999999999999</v>
      </c>
      <c r="F151" s="2">
        <f>(int_data[[#This Row],[closes_ing]]-E150)/E150</f>
        <v>-5.5869682283253399E-3</v>
      </c>
      <c r="G151" s="2">
        <f>LN(int_data[[#This Row],[closes_ing]]/E150)</f>
        <v>-5.6026337109337321E-3</v>
      </c>
    </row>
    <row r="152" spans="1:7" x14ac:dyDescent="0.2">
      <c r="A152" s="1">
        <v>45077</v>
      </c>
      <c r="B152">
        <v>41.13</v>
      </c>
      <c r="C152" s="2">
        <f>(int_data[[#This Row],[closes_alior]]-B151)/B151</f>
        <v>2.4319066147872366E-4</v>
      </c>
      <c r="D152" s="2">
        <f>LN(int_data[[#This Row],[closes_alior]]/B151)</f>
        <v>2.4316109542326709E-4</v>
      </c>
      <c r="E152">
        <v>152.91</v>
      </c>
      <c r="F152" s="2">
        <f>(int_data[[#This Row],[closes_ing]]-E151)/E151</f>
        <v>3.5063968049820669E-2</v>
      </c>
      <c r="G152" s="2">
        <f>LN(int_data[[#This Row],[closes_ing]]/E151)</f>
        <v>3.4463229686543265E-2</v>
      </c>
    </row>
    <row r="153" spans="1:7" x14ac:dyDescent="0.2">
      <c r="A153" s="1">
        <v>45078</v>
      </c>
      <c r="B153">
        <v>42.04</v>
      </c>
      <c r="C153" s="2">
        <f>(int_data[[#This Row],[closes_alior]]-B152)/B152</f>
        <v>2.2124969608558146E-2</v>
      </c>
      <c r="D153" s="2">
        <f>LN(int_data[[#This Row],[closes_alior]]/B152)</f>
        <v>2.1883763766417576E-2</v>
      </c>
      <c r="E153">
        <v>156.76</v>
      </c>
      <c r="F153" s="2">
        <f>(int_data[[#This Row],[closes_ing]]-E152)/E152</f>
        <v>2.5178209404224671E-2</v>
      </c>
      <c r="G153" s="2">
        <f>LN(int_data[[#This Row],[closes_ing]]/E152)</f>
        <v>2.4866460311370735E-2</v>
      </c>
    </row>
    <row r="154" spans="1:7" x14ac:dyDescent="0.2">
      <c r="A154" s="1">
        <v>45079</v>
      </c>
      <c r="B154">
        <v>42.854999999999997</v>
      </c>
      <c r="C154" s="2">
        <f>(int_data[[#This Row],[closes_alior]]-B153)/B153</f>
        <v>1.9386298763082725E-2</v>
      </c>
      <c r="D154" s="2">
        <f>LN(int_data[[#This Row],[closes_alior]]/B153)</f>
        <v>1.9200778342095555E-2</v>
      </c>
      <c r="E154">
        <v>154.58500000000001</v>
      </c>
      <c r="F154" s="2">
        <f>(int_data[[#This Row],[closes_ing]]-E153)/E153</f>
        <v>-1.3874712936973611E-2</v>
      </c>
      <c r="G154" s="2">
        <f>LN(int_data[[#This Row],[closes_ing]]/E153)</f>
        <v>-1.3971866464858177E-2</v>
      </c>
    </row>
    <row r="155" spans="1:7" x14ac:dyDescent="0.2">
      <c r="A155" s="1">
        <v>45080</v>
      </c>
      <c r="B155">
        <v>43.67</v>
      </c>
      <c r="C155" s="2">
        <f>(int_data[[#This Row],[closes_alior]]-B154)/B154</f>
        <v>1.9017617547544156E-2</v>
      </c>
      <c r="D155" s="2">
        <f>LN(int_data[[#This Row],[closes_alior]]/B154)</f>
        <v>1.8839043146623512E-2</v>
      </c>
      <c r="E155">
        <v>152.41</v>
      </c>
      <c r="F155" s="2">
        <f>(int_data[[#This Row],[closes_ing]]-E154)/E154</f>
        <v>-1.4069929165184276E-2</v>
      </c>
      <c r="G155" s="2">
        <f>LN(int_data[[#This Row],[closes_ing]]/E154)</f>
        <v>-1.4169848968814222E-2</v>
      </c>
    </row>
    <row r="156" spans="1:7" x14ac:dyDescent="0.2">
      <c r="A156" s="1">
        <v>45081</v>
      </c>
      <c r="B156">
        <v>43.03</v>
      </c>
      <c r="C156" s="2">
        <f>(int_data[[#This Row],[closes_alior]]-B155)/B155</f>
        <v>-1.4655369819097791E-2</v>
      </c>
      <c r="D156" s="2">
        <f>LN(int_data[[#This Row],[closes_alior]]/B155)</f>
        <v>-1.4763820646961304E-2</v>
      </c>
      <c r="E156">
        <v>155.41999999999999</v>
      </c>
      <c r="F156" s="2">
        <f>(int_data[[#This Row],[closes_ing]]-E155)/E155</f>
        <v>1.974936027819691E-2</v>
      </c>
      <c r="G156" s="2">
        <f>LN(int_data[[#This Row],[closes_ing]]/E155)</f>
        <v>1.9556871883337781E-2</v>
      </c>
    </row>
    <row r="157" spans="1:7" x14ac:dyDescent="0.2">
      <c r="A157" s="1">
        <v>45082</v>
      </c>
      <c r="B157">
        <v>42.38</v>
      </c>
      <c r="C157" s="2">
        <f>(int_data[[#This Row],[closes_alior]]-B156)/B156</f>
        <v>-1.5105740181268848E-2</v>
      </c>
      <c r="D157" s="2">
        <f>LN(int_data[[#This Row],[closes_alior]]/B156)</f>
        <v>-1.5220994010355243E-2</v>
      </c>
      <c r="E157">
        <v>155.08500000000001</v>
      </c>
      <c r="F157" s="2">
        <f>(int_data[[#This Row],[closes_ing]]-E156)/E156</f>
        <v>-2.1554497490669125E-3</v>
      </c>
      <c r="G157" s="2">
        <f>LN(int_data[[#This Row],[closes_ing]]/E156)</f>
        <v>-2.1577760743298783E-3</v>
      </c>
    </row>
    <row r="158" spans="1:7" x14ac:dyDescent="0.2">
      <c r="A158" s="1">
        <v>45083</v>
      </c>
      <c r="B158">
        <v>41.73</v>
      </c>
      <c r="C158" s="2">
        <f>(int_data[[#This Row],[closes_alior]]-B157)/B157</f>
        <v>-1.5337423312883569E-2</v>
      </c>
      <c r="D158" s="2">
        <f>LN(int_data[[#This Row],[closes_alior]]/B157)</f>
        <v>-1.5456258236691915E-2</v>
      </c>
      <c r="E158">
        <v>154.75</v>
      </c>
      <c r="F158" s="2">
        <f>(int_data[[#This Row],[closes_ing]]-E157)/E157</f>
        <v>-2.1601057484605729E-3</v>
      </c>
      <c r="G158" s="2">
        <f>LN(int_data[[#This Row],[closes_ing]]/E157)</f>
        <v>-2.1624421420607096E-3</v>
      </c>
    </row>
    <row r="159" spans="1:7" x14ac:dyDescent="0.2">
      <c r="A159" s="1">
        <v>45084</v>
      </c>
      <c r="B159">
        <v>42.35</v>
      </c>
      <c r="C159" s="2">
        <f>(int_data[[#This Row],[closes_alior]]-B158)/B158</f>
        <v>1.4857416726575715E-2</v>
      </c>
      <c r="D159" s="2">
        <f>LN(int_data[[#This Row],[closes_alior]]/B158)</f>
        <v>1.4748126494602372E-2</v>
      </c>
      <c r="E159">
        <v>153.75</v>
      </c>
      <c r="F159" s="2">
        <f>(int_data[[#This Row],[closes_ing]]-E158)/E158</f>
        <v>-6.462035541195477E-3</v>
      </c>
      <c r="G159" s="2">
        <f>LN(int_data[[#This Row],[closes_ing]]/E158)</f>
        <v>-6.483004878078266E-3</v>
      </c>
    </row>
    <row r="160" spans="1:7" x14ac:dyDescent="0.2">
      <c r="A160" s="1">
        <v>45085</v>
      </c>
      <c r="B160">
        <v>42.734999999999999</v>
      </c>
      <c r="C160" s="2">
        <f>(int_data[[#This Row],[closes_alior]]-B159)/B159</f>
        <v>9.0909090909090436E-3</v>
      </c>
      <c r="D160" s="2">
        <f>LN(int_data[[#This Row],[closes_alior]]/B159)</f>
        <v>9.0498355199178562E-3</v>
      </c>
      <c r="E160">
        <v>153.83000000000001</v>
      </c>
      <c r="F160" s="2">
        <f>(int_data[[#This Row],[closes_ing]]-E159)/E159</f>
        <v>5.203252032521139E-4</v>
      </c>
      <c r="G160" s="2">
        <f>LN(int_data[[#This Row],[closes_ing]]/E159)</f>
        <v>5.2018988103261742E-4</v>
      </c>
    </row>
    <row r="161" spans="1:7" x14ac:dyDescent="0.2">
      <c r="A161" s="1">
        <v>45086</v>
      </c>
      <c r="B161">
        <v>43.12</v>
      </c>
      <c r="C161" s="2">
        <f>(int_data[[#This Row],[closes_alior]]-B160)/B160</f>
        <v>9.0090090090089621E-3</v>
      </c>
      <c r="D161" s="2">
        <f>LN(int_data[[#This Row],[closes_alior]]/B160)</f>
        <v>8.9686699827603161E-3</v>
      </c>
      <c r="E161">
        <v>153.91</v>
      </c>
      <c r="F161" s="2">
        <f>(int_data[[#This Row],[closes_ing]]-E160)/E160</f>
        <v>5.2005460573349856E-4</v>
      </c>
      <c r="G161" s="2">
        <f>LN(int_data[[#This Row],[closes_ing]]/E160)</f>
        <v>5.1991942420291529E-4</v>
      </c>
    </row>
    <row r="162" spans="1:7" x14ac:dyDescent="0.2">
      <c r="A162" s="1">
        <v>45087</v>
      </c>
      <c r="B162">
        <v>43.99</v>
      </c>
      <c r="C162" s="2">
        <f>(int_data[[#This Row],[closes_alior]]-B161)/B161</f>
        <v>2.0176252319109567E-2</v>
      </c>
      <c r="D162" s="2">
        <f>LN(int_data[[#This Row],[closes_alior]]/B161)</f>
        <v>1.9975408759886789E-2</v>
      </c>
      <c r="E162">
        <v>158.93</v>
      </c>
      <c r="F162" s="2">
        <f>(int_data[[#This Row],[closes_ing]]-E161)/E161</f>
        <v>3.2616464167370608E-2</v>
      </c>
      <c r="G162" s="2">
        <f>LN(int_data[[#This Row],[closes_ing]]/E161)</f>
        <v>3.2095837716865527E-2</v>
      </c>
    </row>
    <row r="163" spans="1:7" x14ac:dyDescent="0.2">
      <c r="A163" s="1">
        <v>45088</v>
      </c>
      <c r="B163">
        <v>44.36</v>
      </c>
      <c r="C163" s="2">
        <f>(int_data[[#This Row],[closes_alior]]-B162)/B162</f>
        <v>8.4110025005682525E-3</v>
      </c>
      <c r="D163" s="2">
        <f>LN(int_data[[#This Row],[closes_alior]]/B162)</f>
        <v>8.3758271215377302E-3</v>
      </c>
      <c r="E163">
        <v>159.77000000000001</v>
      </c>
      <c r="F163" s="2">
        <f>(int_data[[#This Row],[closes_ing]]-E162)/E162</f>
        <v>5.2853457497011478E-3</v>
      </c>
      <c r="G163" s="2">
        <f>LN(int_data[[#This Row],[closes_ing]]/E162)</f>
        <v>5.2714273307519193E-3</v>
      </c>
    </row>
    <row r="164" spans="1:7" x14ac:dyDescent="0.2">
      <c r="A164" s="1">
        <v>45089</v>
      </c>
      <c r="B164">
        <v>44.73</v>
      </c>
      <c r="C164" s="2">
        <f>(int_data[[#This Row],[closes_alior]]-B163)/B163</f>
        <v>8.3408476104598166E-3</v>
      </c>
      <c r="D164" s="2">
        <f>LN(int_data[[#This Row],[closes_alior]]/B163)</f>
        <v>8.3062549625904161E-3</v>
      </c>
      <c r="E164">
        <v>160.61000000000001</v>
      </c>
      <c r="F164" s="2">
        <f>(int_data[[#This Row],[closes_ing]]-E163)/E163</f>
        <v>5.2575577392501936E-3</v>
      </c>
      <c r="G164" s="2">
        <f>LN(int_data[[#This Row],[closes_ing]]/E163)</f>
        <v>5.243785035325705E-3</v>
      </c>
    </row>
    <row r="165" spans="1:7" x14ac:dyDescent="0.2">
      <c r="A165" s="1">
        <v>45090</v>
      </c>
      <c r="B165">
        <v>46.77</v>
      </c>
      <c r="C165" s="2">
        <f>(int_data[[#This Row],[closes_alior]]-B164)/B164</f>
        <v>4.5606975184440117E-2</v>
      </c>
      <c r="D165" s="2">
        <f>LN(int_data[[#This Row],[closes_alior]]/B164)</f>
        <v>4.4597554293038244E-2</v>
      </c>
      <c r="E165">
        <v>169.39</v>
      </c>
      <c r="F165" s="2">
        <f>(int_data[[#This Row],[closes_ing]]-E164)/E164</f>
        <v>5.466658364983483E-2</v>
      </c>
      <c r="G165" s="2">
        <f>LN(int_data[[#This Row],[closes_ing]]/E164)</f>
        <v>5.3224682523484397E-2</v>
      </c>
    </row>
    <row r="166" spans="1:7" x14ac:dyDescent="0.2">
      <c r="A166" s="1">
        <v>45091</v>
      </c>
      <c r="B166">
        <v>47.55</v>
      </c>
      <c r="C166" s="2">
        <f>(int_data[[#This Row],[closes_alior]]-B165)/B165</f>
        <v>1.667735728030776E-2</v>
      </c>
      <c r="D166" s="2">
        <f>LN(int_data[[#This Row],[closes_alior]]/B165)</f>
        <v>1.6539817253604417E-2</v>
      </c>
      <c r="E166">
        <v>165.96</v>
      </c>
      <c r="F166" s="2">
        <f>(int_data[[#This Row],[closes_ing]]-E165)/E165</f>
        <v>-2.024912922840769E-2</v>
      </c>
      <c r="G166" s="2">
        <f>LN(int_data[[#This Row],[closes_ing]]/E165)</f>
        <v>-2.045695313362323E-2</v>
      </c>
    </row>
    <row r="167" spans="1:7" x14ac:dyDescent="0.2">
      <c r="A167" s="1">
        <v>45092</v>
      </c>
      <c r="B167">
        <v>47.57</v>
      </c>
      <c r="C167" s="2">
        <f>(int_data[[#This Row],[closes_alior]]-B166)/B166</f>
        <v>4.206098843323476E-4</v>
      </c>
      <c r="D167" s="2">
        <f>LN(int_data[[#This Row],[closes_alior]]/B166)</f>
        <v>4.2052145279097576E-4</v>
      </c>
      <c r="E167">
        <v>168.97</v>
      </c>
      <c r="F167" s="2">
        <f>(int_data[[#This Row],[closes_ing]]-E166)/E166</f>
        <v>1.8136900457941616E-2</v>
      </c>
      <c r="G167" s="2">
        <f>LN(int_data[[#This Row],[closes_ing]]/E166)</f>
        <v>1.7974388907891253E-2</v>
      </c>
    </row>
    <row r="168" spans="1:7" x14ac:dyDescent="0.2">
      <c r="A168" s="1">
        <v>45093</v>
      </c>
      <c r="B168">
        <v>48.18</v>
      </c>
      <c r="C168" s="2">
        <f>(int_data[[#This Row],[closes_alior]]-B167)/B167</f>
        <v>1.2823207904141253E-2</v>
      </c>
      <c r="D168" s="2">
        <f>LN(int_data[[#This Row],[closes_alior]]/B167)</f>
        <v>1.2741686742535192E-2</v>
      </c>
      <c r="E168">
        <v>168.97</v>
      </c>
      <c r="F168" s="2">
        <f>(int_data[[#This Row],[closes_ing]]-E167)/E167</f>
        <v>0</v>
      </c>
      <c r="G168" s="2">
        <f>LN(int_data[[#This Row],[closes_ing]]/E167)</f>
        <v>0</v>
      </c>
    </row>
    <row r="169" spans="1:7" x14ac:dyDescent="0.2">
      <c r="A169" s="1">
        <v>45094</v>
      </c>
      <c r="B169">
        <v>49.11</v>
      </c>
      <c r="C169" s="2">
        <f>(int_data[[#This Row],[closes_alior]]-B168)/B168</f>
        <v>1.9302615193026146E-2</v>
      </c>
      <c r="D169" s="2">
        <f>LN(int_data[[#This Row],[closes_alior]]/B168)</f>
        <v>1.9118682864427996E-2</v>
      </c>
      <c r="E169">
        <v>169.39</v>
      </c>
      <c r="F169" s="2">
        <f>(int_data[[#This Row],[closes_ing]]-E168)/E168</f>
        <v>2.4856483399419275E-3</v>
      </c>
      <c r="G169" s="2">
        <f>LN(int_data[[#This Row],[closes_ing]]/E168)</f>
        <v>2.4825642257321296E-3</v>
      </c>
    </row>
    <row r="170" spans="1:7" x14ac:dyDescent="0.2">
      <c r="A170" s="1">
        <v>45095</v>
      </c>
      <c r="B170">
        <v>49.674999999999997</v>
      </c>
      <c r="C170" s="2">
        <f>(int_data[[#This Row],[closes_alior]]-B169)/B169</f>
        <v>1.150478517613516E-2</v>
      </c>
      <c r="D170" s="2">
        <f>LN(int_data[[#This Row],[closes_alior]]/B169)</f>
        <v>1.1439108386727292E-2</v>
      </c>
      <c r="E170">
        <v>168.76499999999999</v>
      </c>
      <c r="F170" s="2">
        <f>(int_data[[#This Row],[closes_ing]]-E169)/E169</f>
        <v>-3.6897101363716871E-3</v>
      </c>
      <c r="G170" s="2">
        <f>LN(int_data[[#This Row],[closes_ing]]/E169)</f>
        <v>-3.6965339071455433E-3</v>
      </c>
    </row>
    <row r="171" spans="1:7" x14ac:dyDescent="0.2">
      <c r="A171" s="1">
        <v>45096</v>
      </c>
      <c r="B171">
        <v>50.24</v>
      </c>
      <c r="C171" s="2">
        <f>(int_data[[#This Row],[closes_alior]]-B170)/B170</f>
        <v>1.1373930548565775E-2</v>
      </c>
      <c r="D171" s="2">
        <f>LN(int_data[[#This Row],[closes_alior]]/B170)</f>
        <v>1.1309733722062848E-2</v>
      </c>
      <c r="E171">
        <v>168.14</v>
      </c>
      <c r="F171" s="2">
        <f>(int_data[[#This Row],[closes_ing]]-E170)/E170</f>
        <v>-3.703374514857939E-3</v>
      </c>
      <c r="G171" s="2">
        <f>LN(int_data[[#This Row],[closes_ing]]/E170)</f>
        <v>-3.7102489839940939E-3</v>
      </c>
    </row>
    <row r="172" spans="1:7" x14ac:dyDescent="0.2">
      <c r="A172" s="1">
        <v>45097</v>
      </c>
      <c r="B172">
        <v>49.9</v>
      </c>
      <c r="C172" s="2">
        <f>(int_data[[#This Row],[closes_alior]]-B171)/B171</f>
        <v>-6.7675159235669469E-3</v>
      </c>
      <c r="D172" s="2">
        <f>LN(int_data[[#This Row],[closes_alior]]/B171)</f>
        <v>-6.7905194024703236E-3</v>
      </c>
      <c r="E172">
        <v>168.97</v>
      </c>
      <c r="F172" s="2">
        <f>(int_data[[#This Row],[closes_ing]]-E171)/E171</f>
        <v>4.9363625550137543E-3</v>
      </c>
      <c r="G172" s="2">
        <f>LN(int_data[[#This Row],[closes_ing]]/E171)</f>
        <v>4.9242186654077534E-3</v>
      </c>
    </row>
    <row r="173" spans="1:7" x14ac:dyDescent="0.2">
      <c r="A173" s="1">
        <v>45098</v>
      </c>
      <c r="B173">
        <v>49.42</v>
      </c>
      <c r="C173" s="2">
        <f>(int_data[[#This Row],[closes_alior]]-B172)/B172</f>
        <v>-9.6192384769538449E-3</v>
      </c>
      <c r="D173" s="2">
        <f>LN(int_data[[#This Row],[closes_alior]]/B172)</f>
        <v>-9.6658021970089554E-3</v>
      </c>
      <c r="E173">
        <v>169.18</v>
      </c>
      <c r="F173" s="2">
        <f>(int_data[[#This Row],[closes_ing]]-E172)/E172</f>
        <v>1.2428241699710479E-3</v>
      </c>
      <c r="G173" s="2">
        <f>LN(int_data[[#This Row],[closes_ing]]/E172)</f>
        <v>1.2420525033102025E-3</v>
      </c>
    </row>
    <row r="174" spans="1:7" x14ac:dyDescent="0.2">
      <c r="A174" s="1">
        <v>45099</v>
      </c>
      <c r="B174">
        <v>48.94</v>
      </c>
      <c r="C174" s="2">
        <f>(int_data[[#This Row],[closes_alior]]-B173)/B173</f>
        <v>-9.7126669364630512E-3</v>
      </c>
      <c r="D174" s="2">
        <f>LN(int_data[[#This Row],[closes_alior]]/B173)</f>
        <v>-9.7601425459384397E-3</v>
      </c>
      <c r="E174">
        <v>169.39</v>
      </c>
      <c r="F174" s="2">
        <f>(int_data[[#This Row],[closes_ing]]-E173)/E173</f>
        <v>1.2412814753515755E-3</v>
      </c>
      <c r="G174" s="2">
        <f>LN(int_data[[#This Row],[closes_ing]]/E173)</f>
        <v>1.2405117224218486E-3</v>
      </c>
    </row>
    <row r="175" spans="1:7" x14ac:dyDescent="0.2">
      <c r="A175" s="1">
        <v>45100</v>
      </c>
      <c r="B175">
        <v>50.04</v>
      </c>
      <c r="C175" s="2">
        <f>(int_data[[#This Row],[closes_alior]]-B174)/B174</f>
        <v>2.2476501838986543E-2</v>
      </c>
      <c r="D175" s="2">
        <f>LN(int_data[[#This Row],[closes_alior]]/B174)</f>
        <v>2.2227627584184801E-2</v>
      </c>
      <c r="E175">
        <v>167.3</v>
      </c>
      <c r="F175" s="2">
        <f>(int_data[[#This Row],[closes_ing]]-E174)/E174</f>
        <v>-1.2338390696026774E-2</v>
      </c>
      <c r="G175" s="2">
        <f>LN(int_data[[#This Row],[closes_ing]]/E174)</f>
        <v>-1.24151406055121E-2</v>
      </c>
    </row>
    <row r="176" spans="1:7" x14ac:dyDescent="0.2">
      <c r="A176" s="1">
        <v>45101</v>
      </c>
      <c r="B176">
        <v>49.72</v>
      </c>
      <c r="C176" s="2">
        <f>(int_data[[#This Row],[closes_alior]]-B175)/B175</f>
        <v>-6.3948840927258253E-3</v>
      </c>
      <c r="D176" s="2">
        <f>LN(int_data[[#This Row],[closes_alior]]/B175)</f>
        <v>-6.4154189562000245E-3</v>
      </c>
      <c r="E176">
        <v>168.55</v>
      </c>
      <c r="F176" s="2">
        <f>(int_data[[#This Row],[closes_ing]]-E175)/E175</f>
        <v>7.4716078900179317E-3</v>
      </c>
      <c r="G176" s="2">
        <f>LN(int_data[[#This Row],[closes_ing]]/E175)</f>
        <v>7.4438336872913969E-3</v>
      </c>
    </row>
    <row r="177" spans="1:7" x14ac:dyDescent="0.2">
      <c r="A177" s="1">
        <v>45102</v>
      </c>
      <c r="B177">
        <v>49.17</v>
      </c>
      <c r="C177" s="2">
        <f>(int_data[[#This Row],[closes_alior]]-B176)/B176</f>
        <v>-1.106194690265481E-2</v>
      </c>
      <c r="D177" s="2">
        <f>LN(int_data[[#This Row],[closes_alior]]/B176)</f>
        <v>-1.1123585218662316E-2</v>
      </c>
      <c r="E177">
        <v>165.96</v>
      </c>
      <c r="F177" s="2">
        <f>(int_data[[#This Row],[closes_ing]]-E176)/E176</f>
        <v>-1.5366360130525086E-2</v>
      </c>
      <c r="G177" s="2">
        <f>LN(int_data[[#This Row],[closes_ing]]/E176)</f>
        <v>-1.5485646215402573E-2</v>
      </c>
    </row>
    <row r="178" spans="1:7" x14ac:dyDescent="0.2">
      <c r="A178" s="1">
        <v>45103</v>
      </c>
      <c r="B178">
        <v>50.59</v>
      </c>
      <c r="C178" s="2">
        <f>(int_data[[#This Row],[closes_alior]]-B177)/B177</f>
        <v>2.887939800691482E-2</v>
      </c>
      <c r="D178" s="2">
        <f>LN(int_data[[#This Row],[closes_alior]]/B177)</f>
        <v>2.8470246879996788E-2</v>
      </c>
      <c r="E178">
        <v>164.79</v>
      </c>
      <c r="F178" s="2">
        <f>(int_data[[#This Row],[closes_ing]]-E177)/E177</f>
        <v>-7.0498915401302478E-3</v>
      </c>
      <c r="G178" s="2">
        <f>LN(int_data[[#This Row],[closes_ing]]/E177)</f>
        <v>-7.0748594420285233E-3</v>
      </c>
    </row>
    <row r="179" spans="1:7" x14ac:dyDescent="0.2">
      <c r="A179" s="1">
        <v>45104</v>
      </c>
      <c r="B179">
        <v>50.57</v>
      </c>
      <c r="C179" s="2">
        <f>(int_data[[#This Row],[closes_alior]]-B178)/B178</f>
        <v>-3.9533504645192973E-4</v>
      </c>
      <c r="D179" s="2">
        <f>LN(int_data[[#This Row],[closes_alior]]/B178)</f>
        <v>-3.9541321195314682E-4</v>
      </c>
      <c r="E179">
        <v>163.12</v>
      </c>
      <c r="F179" s="2">
        <f>(int_data[[#This Row],[closes_ing]]-E178)/E178</f>
        <v>-1.0134110079495039E-2</v>
      </c>
      <c r="G179" s="2">
        <f>LN(int_data[[#This Row],[closes_ing]]/E178)</f>
        <v>-1.0185809756438926E-2</v>
      </c>
    </row>
    <row r="180" spans="1:7" x14ac:dyDescent="0.2">
      <c r="A180" s="1">
        <v>45105</v>
      </c>
      <c r="B180">
        <v>50.45</v>
      </c>
      <c r="C180" s="2">
        <f>(int_data[[#This Row],[closes_alior]]-B179)/B179</f>
        <v>-2.3729483883725023E-3</v>
      </c>
      <c r="D180" s="2">
        <f>LN(int_data[[#This Row],[closes_alior]]/B179)</f>
        <v>-2.3757682922736869E-3</v>
      </c>
      <c r="E180">
        <v>167.13</v>
      </c>
      <c r="F180" s="2">
        <f>(int_data[[#This Row],[closes_ing]]-E179)/E179</f>
        <v>2.4583128984796414E-2</v>
      </c>
      <c r="G180" s="2">
        <f>LN(int_data[[#This Row],[closes_ing]]/E179)</f>
        <v>2.4285826434634027E-2</v>
      </c>
    </row>
    <row r="181" spans="1:7" x14ac:dyDescent="0.2">
      <c r="A181" s="1">
        <v>45106</v>
      </c>
      <c r="B181">
        <v>50.26</v>
      </c>
      <c r="C181" s="2">
        <f>(int_data[[#This Row],[closes_alior]]-B180)/B180</f>
        <v>-3.7661050545095107E-3</v>
      </c>
      <c r="D181" s="2">
        <f>LN(int_data[[#This Row],[closes_alior]]/B180)</f>
        <v>-3.7732146841719006E-3</v>
      </c>
      <c r="E181">
        <v>165.54</v>
      </c>
      <c r="F181" s="2">
        <f>(int_data[[#This Row],[closes_ing]]-E180)/E180</f>
        <v>-9.5135523245378061E-3</v>
      </c>
      <c r="G181" s="2">
        <f>LN(int_data[[#This Row],[closes_ing]]/E180)</f>
        <v>-9.5590952435840731E-3</v>
      </c>
    </row>
    <row r="182" spans="1:7" x14ac:dyDescent="0.2">
      <c r="A182" s="1">
        <v>45107</v>
      </c>
      <c r="B182">
        <v>50.07</v>
      </c>
      <c r="C182" s="2">
        <f>(int_data[[#This Row],[closes_alior]]-B181)/B181</f>
        <v>-3.7803422204535958E-3</v>
      </c>
      <c r="D182" s="2">
        <f>LN(int_data[[#This Row],[closes_alior]]/B181)</f>
        <v>-3.7875057735927264E-3</v>
      </c>
      <c r="E182">
        <v>163.95</v>
      </c>
      <c r="F182" s="2">
        <f>(int_data[[#This Row],[closes_ing]]-E181)/E181</f>
        <v>-9.6049293222182155E-3</v>
      </c>
      <c r="G182" s="2">
        <f>LN(int_data[[#This Row],[closes_ing]]/E181)</f>
        <v>-9.6513541665924994E-3</v>
      </c>
    </row>
    <row r="183" spans="1:7" x14ac:dyDescent="0.2">
      <c r="A183" s="1">
        <v>45108</v>
      </c>
      <c r="B183">
        <v>49.98</v>
      </c>
      <c r="C183" s="2">
        <f>(int_data[[#This Row],[closes_alior]]-B182)/B182</f>
        <v>-1.7974835230677732E-3</v>
      </c>
      <c r="D183" s="2">
        <f>LN(int_data[[#This Row],[closes_alior]]/B182)</f>
        <v>-1.7991009350471158E-3</v>
      </c>
      <c r="E183">
        <v>159.94</v>
      </c>
      <c r="F183" s="2">
        <f>(int_data[[#This Row],[closes_ing]]-E182)/E182</f>
        <v>-2.4458676425739501E-2</v>
      </c>
      <c r="G183" s="2">
        <f>LN(int_data[[#This Row],[closes_ing]]/E182)</f>
        <v>-2.4762758386913362E-2</v>
      </c>
    </row>
    <row r="184" spans="1:7" x14ac:dyDescent="0.2">
      <c r="A184" s="1">
        <v>45109</v>
      </c>
      <c r="B184">
        <v>50.024999999999999</v>
      </c>
      <c r="C184" s="2">
        <f>(int_data[[#This Row],[closes_alior]]-B183)/B183</f>
        <v>9.0036014405765719E-4</v>
      </c>
      <c r="D184" s="2">
        <f>LN(int_data[[#This Row],[closes_alior]]/B183)</f>
        <v>8.9995506299074839E-4</v>
      </c>
      <c r="E184">
        <v>163.37</v>
      </c>
      <c r="F184" s="2">
        <f>(int_data[[#This Row],[closes_ing]]-E183)/E183</f>
        <v>2.1445542078279398E-2</v>
      </c>
      <c r="G184" s="2">
        <f>LN(int_data[[#This Row],[closes_ing]]/E183)</f>
        <v>2.1218822134673309E-2</v>
      </c>
    </row>
    <row r="185" spans="1:7" x14ac:dyDescent="0.2">
      <c r="A185" s="1">
        <v>45110</v>
      </c>
      <c r="B185">
        <v>50.07</v>
      </c>
      <c r="C185" s="2">
        <f>(int_data[[#This Row],[closes_alior]]-B184)/B184</f>
        <v>8.9955022488759037E-4</v>
      </c>
      <c r="D185" s="2">
        <f>LN(int_data[[#This Row],[closes_alior]]/B184)</f>
        <v>8.9914587205637206E-4</v>
      </c>
      <c r="E185">
        <v>166.8</v>
      </c>
      <c r="F185" s="2">
        <f>(int_data[[#This Row],[closes_ing]]-E184)/E184</f>
        <v>2.0995286772357267E-2</v>
      </c>
      <c r="G185" s="2">
        <f>LN(int_data[[#This Row],[closes_ing]]/E184)</f>
        <v>2.0777922886229244E-2</v>
      </c>
    </row>
    <row r="186" spans="1:7" x14ac:dyDescent="0.2">
      <c r="A186" s="1">
        <v>45111</v>
      </c>
      <c r="B186">
        <v>51.6</v>
      </c>
      <c r="C186" s="2">
        <f>(int_data[[#This Row],[closes_alior]]-B185)/B185</f>
        <v>3.0557219892151013E-2</v>
      </c>
      <c r="D186" s="2">
        <f>LN(int_data[[#This Row],[closes_alior]]/B185)</f>
        <v>3.0099646145663756E-2</v>
      </c>
      <c r="E186">
        <v>167.3</v>
      </c>
      <c r="F186" s="2">
        <f>(int_data[[#This Row],[closes_ing]]-E185)/E185</f>
        <v>2.9976019184652278E-3</v>
      </c>
      <c r="G186" s="2">
        <f>LN(int_data[[#This Row],[closes_ing]]/E185)</f>
        <v>2.9931180681318859E-3</v>
      </c>
    </row>
    <row r="187" spans="1:7" x14ac:dyDescent="0.2">
      <c r="A187" s="1">
        <v>45112</v>
      </c>
      <c r="B187">
        <v>50.99</v>
      </c>
      <c r="C187" s="2">
        <f>(int_data[[#This Row],[closes_alior]]-B186)/B186</f>
        <v>-1.1821705426356579E-2</v>
      </c>
      <c r="D187" s="2">
        <f>LN(int_data[[#This Row],[closes_alior]]/B186)</f>
        <v>-1.1892137420452725E-2</v>
      </c>
      <c r="E187">
        <v>163.12</v>
      </c>
      <c r="F187" s="2">
        <f>(int_data[[#This Row],[closes_ing]]-E186)/E186</f>
        <v>-2.4985056784220003E-2</v>
      </c>
      <c r="G187" s="2">
        <f>LN(int_data[[#This Row],[closes_ing]]/E186)</f>
        <v>-2.5302481726578618E-2</v>
      </c>
    </row>
    <row r="188" spans="1:7" x14ac:dyDescent="0.2">
      <c r="A188" s="1">
        <v>45113</v>
      </c>
      <c r="B188">
        <v>48.54</v>
      </c>
      <c r="C188" s="2">
        <f>(int_data[[#This Row],[closes_alior]]-B187)/B187</f>
        <v>-4.8048636987644687E-2</v>
      </c>
      <c r="D188" s="2">
        <f>LN(int_data[[#This Row],[closes_alior]]/B187)</f>
        <v>-4.9241334768609139E-2</v>
      </c>
      <c r="E188">
        <v>158.1</v>
      </c>
      <c r="F188" s="2">
        <f>(int_data[[#This Row],[closes_ing]]-E187)/E187</f>
        <v>-3.0774889651790156E-2</v>
      </c>
      <c r="G188" s="2">
        <f>LN(int_data[[#This Row],[closes_ing]]/E187)</f>
        <v>-3.1258382050773519E-2</v>
      </c>
    </row>
    <row r="189" spans="1:7" x14ac:dyDescent="0.2">
      <c r="A189" s="1">
        <v>45114</v>
      </c>
      <c r="B189">
        <v>49.53</v>
      </c>
      <c r="C189" s="2">
        <f>(int_data[[#This Row],[closes_alior]]-B188)/B188</f>
        <v>2.0395550061804737E-2</v>
      </c>
      <c r="D189" s="2">
        <f>LN(int_data[[#This Row],[closes_alior]]/B188)</f>
        <v>2.0190346301691024E-2</v>
      </c>
      <c r="E189">
        <v>158.1</v>
      </c>
      <c r="F189" s="2">
        <f>(int_data[[#This Row],[closes_ing]]-E188)/E188</f>
        <v>0</v>
      </c>
      <c r="G189" s="2">
        <f>LN(int_data[[#This Row],[closes_ing]]/E188)</f>
        <v>0</v>
      </c>
    </row>
    <row r="190" spans="1:7" x14ac:dyDescent="0.2">
      <c r="A190" s="1">
        <v>45115</v>
      </c>
      <c r="B190">
        <v>51.62</v>
      </c>
      <c r="C190" s="2">
        <f>(int_data[[#This Row],[closes_alior]]-B189)/B189</f>
        <v>4.2196648495861022E-2</v>
      </c>
      <c r="D190" s="2">
        <f>LN(int_data[[#This Row],[closes_alior]]/B189)</f>
        <v>4.1330647690321298E-2</v>
      </c>
      <c r="E190">
        <v>159.77000000000001</v>
      </c>
      <c r="F190" s="2">
        <f>(int_data[[#This Row],[closes_ing]]-E189)/E189</f>
        <v>1.0562934851359999E-2</v>
      </c>
      <c r="G190" s="2">
        <f>LN(int_data[[#This Row],[closes_ing]]/E189)</f>
        <v>1.0507536824054017E-2</v>
      </c>
    </row>
    <row r="191" spans="1:7" x14ac:dyDescent="0.2">
      <c r="A191" s="1">
        <v>45116</v>
      </c>
      <c r="B191">
        <v>51.15</v>
      </c>
      <c r="C191" s="2">
        <f>(int_data[[#This Row],[closes_alior]]-B190)/B190</f>
        <v>-9.1049980627663472E-3</v>
      </c>
      <c r="D191" s="2">
        <f>LN(int_data[[#This Row],[closes_alior]]/B190)</f>
        <v>-9.1467018928322718E-3</v>
      </c>
      <c r="E191">
        <v>162.44999999999999</v>
      </c>
      <c r="F191" s="2">
        <f>(int_data[[#This Row],[closes_ing]]-E190)/E190</f>
        <v>1.6774112787131364E-2</v>
      </c>
      <c r="G191" s="2">
        <f>LN(int_data[[#This Row],[closes_ing]]/E190)</f>
        <v>1.6634981075628878E-2</v>
      </c>
    </row>
    <row r="192" spans="1:7" x14ac:dyDescent="0.2">
      <c r="A192" s="1">
        <v>45117</v>
      </c>
      <c r="B192">
        <v>50.66</v>
      </c>
      <c r="C192" s="2">
        <f>(int_data[[#This Row],[closes_alior]]-B191)/B191</f>
        <v>-9.5796676441838122E-3</v>
      </c>
      <c r="D192" s="2">
        <f>LN(int_data[[#This Row],[closes_alior]]/B191)</f>
        <v>-9.6258478241063837E-3</v>
      </c>
      <c r="E192">
        <v>165.08500000000001</v>
      </c>
      <c r="F192" s="2">
        <f>(int_data[[#This Row],[closes_ing]]-E191)/E191</f>
        <v>1.6220375500154014E-2</v>
      </c>
      <c r="G192" s="2">
        <f>LN(int_data[[#This Row],[closes_ing]]/E191)</f>
        <v>1.6090230655634013E-2</v>
      </c>
    </row>
    <row r="193" spans="1:7" x14ac:dyDescent="0.2">
      <c r="A193" s="1">
        <v>45118</v>
      </c>
      <c r="B193">
        <v>50.17</v>
      </c>
      <c r="C193" s="2">
        <f>(int_data[[#This Row],[closes_alior]]-B192)/B192</f>
        <v>-9.6723253059612102E-3</v>
      </c>
      <c r="D193" s="2">
        <f>LN(int_data[[#This Row],[closes_alior]]/B192)</f>
        <v>-9.7194060773674266E-3</v>
      </c>
      <c r="E193">
        <v>167.72</v>
      </c>
      <c r="F193" s="2">
        <f>(int_data[[#This Row],[closes_ing]]-E192)/E192</f>
        <v>1.5961474391979834E-2</v>
      </c>
      <c r="G193" s="2">
        <f>LN(int_data[[#This Row],[closes_ing]]/E192)</f>
        <v>1.5835429531818598E-2</v>
      </c>
    </row>
    <row r="194" spans="1:7" x14ac:dyDescent="0.2">
      <c r="A194" s="1">
        <v>45119</v>
      </c>
      <c r="B194">
        <v>48.42</v>
      </c>
      <c r="C194" s="2">
        <f>(int_data[[#This Row],[closes_alior]]-B193)/B193</f>
        <v>-3.4881403229021328E-2</v>
      </c>
      <c r="D194" s="2">
        <f>LN(int_data[[#This Row],[closes_alior]]/B193)</f>
        <v>-3.5504286986249183E-2</v>
      </c>
      <c r="E194">
        <v>166.46</v>
      </c>
      <c r="F194" s="2">
        <f>(int_data[[#This Row],[closes_ing]]-E193)/E193</f>
        <v>-7.5125208681134682E-3</v>
      </c>
      <c r="G194" s="2">
        <f>LN(int_data[[#This Row],[closes_ing]]/E193)</f>
        <v>-7.5408819846127968E-3</v>
      </c>
    </row>
    <row r="195" spans="1:7" x14ac:dyDescent="0.2">
      <c r="A195" s="1">
        <v>45120</v>
      </c>
      <c r="B195">
        <v>47.47</v>
      </c>
      <c r="C195" s="2">
        <f>(int_data[[#This Row],[closes_alior]]-B194)/B194</f>
        <v>-1.9619991738950904E-2</v>
      </c>
      <c r="D195" s="2">
        <f>LN(int_data[[#This Row],[closes_alior]]/B194)</f>
        <v>-1.981501894668582E-2</v>
      </c>
      <c r="E195">
        <v>165.29</v>
      </c>
      <c r="F195" s="2">
        <f>(int_data[[#This Row],[closes_ing]]-E194)/E194</f>
        <v>-7.0287156073532133E-3</v>
      </c>
      <c r="G195" s="2">
        <f>LN(int_data[[#This Row],[closes_ing]]/E194)</f>
        <v>-7.0535333886871587E-3</v>
      </c>
    </row>
    <row r="196" spans="1:7" x14ac:dyDescent="0.2">
      <c r="A196" s="1">
        <v>45121</v>
      </c>
      <c r="B196">
        <v>46.52</v>
      </c>
      <c r="C196" s="2">
        <f>(int_data[[#This Row],[closes_alior]]-B195)/B195</f>
        <v>-2.0012639561828433E-2</v>
      </c>
      <c r="D196" s="2">
        <f>LN(int_data[[#This Row],[closes_alior]]/B195)</f>
        <v>-2.0215604912762884E-2</v>
      </c>
      <c r="E196">
        <v>164.12</v>
      </c>
      <c r="F196" s="2">
        <f>(int_data[[#This Row],[closes_ing]]-E195)/E195</f>
        <v>-7.0784681468932633E-3</v>
      </c>
      <c r="G196" s="2">
        <f>LN(int_data[[#This Row],[closes_ing]]/E195)</f>
        <v>-7.1036393552765921E-3</v>
      </c>
    </row>
    <row r="197" spans="1:7" x14ac:dyDescent="0.2">
      <c r="A197" s="1">
        <v>45122</v>
      </c>
      <c r="B197">
        <v>47.81</v>
      </c>
      <c r="C197" s="2">
        <f>(int_data[[#This Row],[closes_alior]]-B196)/B196</f>
        <v>2.7730008598452257E-2</v>
      </c>
      <c r="D197" s="2">
        <f>LN(int_data[[#This Row],[closes_alior]]/B196)</f>
        <v>2.7352494987548253E-2</v>
      </c>
      <c r="E197">
        <v>162.61000000000001</v>
      </c>
      <c r="F197" s="2">
        <f>(int_data[[#This Row],[closes_ing]]-E196)/E196</f>
        <v>-9.2005849378502969E-3</v>
      </c>
      <c r="G197" s="2">
        <f>LN(int_data[[#This Row],[closes_ing]]/E196)</f>
        <v>-9.2431717363541561E-3</v>
      </c>
    </row>
    <row r="198" spans="1:7" x14ac:dyDescent="0.2">
      <c r="A198" s="1">
        <v>45123</v>
      </c>
      <c r="B198">
        <v>47.844999999999999</v>
      </c>
      <c r="C198" s="2">
        <f>(int_data[[#This Row],[closes_alior]]-B197)/B197</f>
        <v>7.3206442166903556E-4</v>
      </c>
      <c r="D198" s="2">
        <f>LN(int_data[[#This Row],[closes_alior]]/B197)</f>
        <v>7.3179659321414604E-4</v>
      </c>
      <c r="E198">
        <v>164.95500000000001</v>
      </c>
      <c r="F198" s="2">
        <f>(int_data[[#This Row],[closes_ing]]-E197)/E197</f>
        <v>1.4421007318123109E-2</v>
      </c>
      <c r="G198" s="2">
        <f>LN(int_data[[#This Row],[closes_ing]]/E197)</f>
        <v>1.4318013593376295E-2</v>
      </c>
    </row>
    <row r="199" spans="1:7" x14ac:dyDescent="0.2">
      <c r="A199" s="1">
        <v>45124</v>
      </c>
      <c r="B199">
        <v>47.88</v>
      </c>
      <c r="C199" s="2">
        <f>(int_data[[#This Row],[closes_alior]]-B198)/B198</f>
        <v>7.3152889539144519E-4</v>
      </c>
      <c r="D199" s="2">
        <f>LN(int_data[[#This Row],[closes_alior]]/B198)</f>
        <v>7.3126145854636253E-4</v>
      </c>
      <c r="E199">
        <v>167.3</v>
      </c>
      <c r="F199" s="2">
        <f>(int_data[[#This Row],[closes_ing]]-E198)/E198</f>
        <v>1.4215998302567359E-2</v>
      </c>
      <c r="G199" s="2">
        <f>LN(int_data[[#This Row],[closes_ing]]/E198)</f>
        <v>1.4115898561770812E-2</v>
      </c>
    </row>
    <row r="200" spans="1:7" x14ac:dyDescent="0.2">
      <c r="A200" s="1">
        <v>45125</v>
      </c>
      <c r="B200">
        <v>46.91</v>
      </c>
      <c r="C200" s="2">
        <f>(int_data[[#This Row],[closes_alior]]-B199)/B199</f>
        <v>-2.0258980785296699E-2</v>
      </c>
      <c r="D200" s="2">
        <f>LN(int_data[[#This Row],[closes_alior]]/B199)</f>
        <v>-2.0467008349405808E-2</v>
      </c>
      <c r="E200">
        <v>161.94999999999999</v>
      </c>
      <c r="F200" s="2">
        <f>(int_data[[#This Row],[closes_ing]]-E199)/E199</f>
        <v>-3.1978481769276881E-2</v>
      </c>
      <c r="G200" s="2">
        <f>LN(int_data[[#This Row],[closes_ing]]/E199)</f>
        <v>-3.2500962375440104E-2</v>
      </c>
    </row>
    <row r="201" spans="1:7" x14ac:dyDescent="0.2">
      <c r="A201" s="1">
        <v>45126</v>
      </c>
      <c r="B201">
        <v>46.52</v>
      </c>
      <c r="C201" s="2">
        <f>(int_data[[#This Row],[closes_alior]]-B200)/B200</f>
        <v>-8.3137923683648147E-3</v>
      </c>
      <c r="D201" s="2">
        <f>LN(int_data[[#This Row],[closes_alior]]/B200)</f>
        <v>-8.3485446899028547E-3</v>
      </c>
      <c r="E201">
        <v>157.93</v>
      </c>
      <c r="F201" s="2">
        <f>(int_data[[#This Row],[closes_ing]]-E200)/E200</f>
        <v>-2.4822476072861883E-2</v>
      </c>
      <c r="G201" s="2">
        <f>LN(int_data[[#This Row],[closes_ing]]/E200)</f>
        <v>-2.5135748735375E-2</v>
      </c>
    </row>
    <row r="202" spans="1:7" x14ac:dyDescent="0.2">
      <c r="A202" s="1">
        <v>45127</v>
      </c>
      <c r="B202">
        <v>46.445</v>
      </c>
      <c r="C202" s="2">
        <f>(int_data[[#This Row],[closes_alior]]-B201)/B201</f>
        <v>-1.6122098022356586E-3</v>
      </c>
      <c r="D202" s="2">
        <f>LN(int_data[[#This Row],[closes_alior]]/B201)</f>
        <v>-1.6135108109795835E-3</v>
      </c>
      <c r="E202">
        <v>158.85</v>
      </c>
      <c r="F202" s="2">
        <f>(int_data[[#This Row],[closes_ing]]-E201)/E201</f>
        <v>5.8253656683339922E-3</v>
      </c>
      <c r="G202" s="2">
        <f>LN(int_data[[#This Row],[closes_ing]]/E201)</f>
        <v>5.8084638335618817E-3</v>
      </c>
    </row>
    <row r="203" spans="1:7" x14ac:dyDescent="0.2">
      <c r="A203" s="1">
        <v>45128</v>
      </c>
      <c r="B203">
        <v>46.37</v>
      </c>
      <c r="C203" s="2">
        <f>(int_data[[#This Row],[closes_alior]]-B202)/B202</f>
        <v>-1.6148132199376218E-3</v>
      </c>
      <c r="D203" s="2">
        <f>LN(int_data[[#This Row],[closes_alior]]/B202)</f>
        <v>-1.6161184361147311E-3</v>
      </c>
      <c r="E203">
        <v>159.77000000000001</v>
      </c>
      <c r="F203" s="2">
        <f>(int_data[[#This Row],[closes_ing]]-E202)/E202</f>
        <v>5.7916273213724639E-3</v>
      </c>
      <c r="G203" s="2">
        <f>LN(int_data[[#This Row],[closes_ing]]/E202)</f>
        <v>5.7749203239551728E-3</v>
      </c>
    </row>
    <row r="204" spans="1:7" x14ac:dyDescent="0.2">
      <c r="A204" s="1">
        <v>45129</v>
      </c>
      <c r="B204">
        <v>45.57</v>
      </c>
      <c r="C204" s="2">
        <f>(int_data[[#This Row],[closes_alior]]-B203)/B203</f>
        <v>-1.7252533965926187E-2</v>
      </c>
      <c r="D204" s="2">
        <f>LN(int_data[[#This Row],[closes_alior]]/B203)</f>
        <v>-1.7403093127578224E-2</v>
      </c>
      <c r="E204">
        <v>155.59</v>
      </c>
      <c r="F204" s="2">
        <f>(int_data[[#This Row],[closes_ing]]-E203)/E203</f>
        <v>-2.6162608750078278E-2</v>
      </c>
      <c r="G204" s="2">
        <f>LN(int_data[[#This Row],[closes_ing]]/E203)</f>
        <v>-2.6510938712608831E-2</v>
      </c>
    </row>
    <row r="205" spans="1:7" x14ac:dyDescent="0.2">
      <c r="A205" s="1">
        <v>45130</v>
      </c>
      <c r="B205">
        <v>47.55</v>
      </c>
      <c r="C205" s="2">
        <f>(int_data[[#This Row],[closes_alior]]-B204)/B204</f>
        <v>4.3449637919683932E-2</v>
      </c>
      <c r="D205" s="2">
        <f>LN(int_data[[#This Row],[closes_alior]]/B204)</f>
        <v>4.2532183715608164E-2</v>
      </c>
      <c r="E205">
        <v>159.77000000000001</v>
      </c>
      <c r="F205" s="2">
        <f>(int_data[[#This Row],[closes_ing]]-E204)/E204</f>
        <v>2.6865479786618719E-2</v>
      </c>
      <c r="G205" s="2">
        <f>LN(int_data[[#This Row],[closes_ing]]/E204)</f>
        <v>2.6510938712608931E-2</v>
      </c>
    </row>
    <row r="206" spans="1:7" x14ac:dyDescent="0.2">
      <c r="A206" s="1">
        <v>45131</v>
      </c>
      <c r="B206">
        <v>48.4</v>
      </c>
      <c r="C206" s="2">
        <f>(int_data[[#This Row],[closes_alior]]-B205)/B205</f>
        <v>1.7875920084122008E-2</v>
      </c>
      <c r="D206" s="2">
        <f>LN(int_data[[#This Row],[closes_alior]]/B205)</f>
        <v>1.7718024731186818E-2</v>
      </c>
      <c r="E206">
        <v>161.78</v>
      </c>
      <c r="F206" s="2">
        <f>(int_data[[#This Row],[closes_ing]]-E205)/E205</f>
        <v>1.2580584590348569E-2</v>
      </c>
      <c r="G206" s="2">
        <f>LN(int_data[[#This Row],[closes_ing]]/E205)</f>
        <v>1.2502106550326348E-2</v>
      </c>
    </row>
    <row r="207" spans="1:7" x14ac:dyDescent="0.2">
      <c r="A207" s="1">
        <v>45132</v>
      </c>
      <c r="B207">
        <v>48.755000000000003</v>
      </c>
      <c r="C207" s="2">
        <f>(int_data[[#This Row],[closes_alior]]-B206)/B206</f>
        <v>7.334710743801735E-3</v>
      </c>
      <c r="D207" s="2">
        <f>LN(int_data[[#This Row],[closes_alior]]/B206)</f>
        <v>7.3079425644964162E-3</v>
      </c>
      <c r="E207">
        <v>161.61000000000001</v>
      </c>
      <c r="F207" s="2">
        <f>(int_data[[#This Row],[closes_ing]]-E206)/E206</f>
        <v>-1.0508097416243509E-3</v>
      </c>
      <c r="G207" s="2">
        <f>LN(int_data[[#This Row],[closes_ing]]/E206)</f>
        <v>-1.05136222925435E-3</v>
      </c>
    </row>
    <row r="208" spans="1:7" x14ac:dyDescent="0.2">
      <c r="A208" s="1">
        <v>45133</v>
      </c>
      <c r="B208">
        <v>49.11</v>
      </c>
      <c r="C208" s="2">
        <f>(int_data[[#This Row],[closes_alior]]-B207)/B207</f>
        <v>7.2813044815915667E-3</v>
      </c>
      <c r="D208" s="2">
        <f>LN(int_data[[#This Row],[closes_alior]]/B207)</f>
        <v>7.254923764070856E-3</v>
      </c>
      <c r="E208">
        <v>161.44</v>
      </c>
      <c r="F208" s="2">
        <f>(int_data[[#This Row],[closes_ing]]-E207)/E207</f>
        <v>-1.0519151042634484E-3</v>
      </c>
      <c r="G208" s="2">
        <f>LN(int_data[[#This Row],[closes_ing]]/E207)</f>
        <v>-1.0524687552534032E-3</v>
      </c>
    </row>
    <row r="209" spans="1:7" x14ac:dyDescent="0.2">
      <c r="A209" s="1">
        <v>45134</v>
      </c>
      <c r="B209">
        <v>48.84</v>
      </c>
      <c r="C209" s="2">
        <f>(int_data[[#This Row],[closes_alior]]-B208)/B208</f>
        <v>-5.4978619425778055E-3</v>
      </c>
      <c r="D209" s="2">
        <f>LN(int_data[[#This Row],[closes_alior]]/B208)</f>
        <v>-5.5130308086492512E-3</v>
      </c>
      <c r="E209">
        <v>163.62</v>
      </c>
      <c r="F209" s="2">
        <f>(int_data[[#This Row],[closes_ing]]-E208)/E208</f>
        <v>1.3503468780971301E-2</v>
      </c>
      <c r="G209" s="2">
        <f>LN(int_data[[#This Row],[closes_ing]]/E208)</f>
        <v>1.3413109480253269E-2</v>
      </c>
    </row>
    <row r="210" spans="1:7" x14ac:dyDescent="0.2">
      <c r="A210" s="1">
        <v>45135</v>
      </c>
      <c r="B210">
        <v>48.56</v>
      </c>
      <c r="C210" s="2">
        <f>(int_data[[#This Row],[closes_alior]]-B209)/B209</f>
        <v>-5.7330057330057561E-3</v>
      </c>
      <c r="D210" s="2">
        <f>LN(int_data[[#This Row],[closes_alior]]/B209)</f>
        <v>-5.7495024912611005E-3</v>
      </c>
      <c r="E210">
        <v>162.36500000000001</v>
      </c>
      <c r="F210" s="2">
        <f>(int_data[[#This Row],[closes_ing]]-E209)/E209</f>
        <v>-7.6702114655909752E-3</v>
      </c>
      <c r="G210" s="2">
        <f>LN(int_data[[#This Row],[closes_ing]]/E209)</f>
        <v>-7.6997788265318447E-3</v>
      </c>
    </row>
    <row r="211" spans="1:7" x14ac:dyDescent="0.2">
      <c r="A211" s="1">
        <v>45136</v>
      </c>
      <c r="B211">
        <v>48.28</v>
      </c>
      <c r="C211" s="2">
        <f>(int_data[[#This Row],[closes_alior]]-B210)/B210</f>
        <v>-5.7660626029654265E-3</v>
      </c>
      <c r="D211" s="2">
        <f>LN(int_data[[#This Row],[closes_alior]]/B210)</f>
        <v>-5.7827505219120827E-3</v>
      </c>
      <c r="E211">
        <v>161.11000000000001</v>
      </c>
      <c r="F211" s="2">
        <f>(int_data[[#This Row],[closes_ing]]-E210)/E210</f>
        <v>-7.729498352477414E-3</v>
      </c>
      <c r="G211" s="2">
        <f>LN(int_data[[#This Row],[closes_ing]]/E210)</f>
        <v>-7.7595257561249983E-3</v>
      </c>
    </row>
    <row r="212" spans="1:7" x14ac:dyDescent="0.2">
      <c r="A212" s="1">
        <v>45137</v>
      </c>
      <c r="B212">
        <v>46.94</v>
      </c>
      <c r="C212" s="2">
        <f>(int_data[[#This Row],[closes_alior]]-B211)/B211</f>
        <v>-2.7754763877382009E-2</v>
      </c>
      <c r="D212" s="2">
        <f>LN(int_data[[#This Row],[closes_alior]]/B211)</f>
        <v>-2.8147205806453319E-2</v>
      </c>
      <c r="E212">
        <v>158.93</v>
      </c>
      <c r="F212" s="2">
        <f>(int_data[[#This Row],[closes_ing]]-E211)/E211</f>
        <v>-1.3531127800881426E-2</v>
      </c>
      <c r="G212" s="2">
        <f>LN(int_data[[#This Row],[closes_ing]]/E211)</f>
        <v>-1.3623507794167031E-2</v>
      </c>
    </row>
    <row r="213" spans="1:7" x14ac:dyDescent="0.2">
      <c r="A213" s="1">
        <v>45138</v>
      </c>
      <c r="B213">
        <v>46.94</v>
      </c>
      <c r="C213" s="2">
        <f>(int_data[[#This Row],[closes_alior]]-B212)/B212</f>
        <v>0</v>
      </c>
      <c r="D213" s="2">
        <f>LN(int_data[[#This Row],[closes_alior]]/B212)</f>
        <v>0</v>
      </c>
      <c r="E213">
        <v>157.26</v>
      </c>
      <c r="F213" s="2">
        <f>(int_data[[#This Row],[closes_ing]]-E212)/E212</f>
        <v>-1.0507770716667815E-2</v>
      </c>
      <c r="G213" s="2">
        <f>LN(int_data[[#This Row],[closes_ing]]/E212)</f>
        <v>-1.0563367145358394E-2</v>
      </c>
    </row>
    <row r="214" spans="1:7" x14ac:dyDescent="0.2">
      <c r="A214" s="1">
        <v>45139</v>
      </c>
      <c r="B214">
        <v>44.68</v>
      </c>
      <c r="C214" s="2">
        <f>(int_data[[#This Row],[closes_alior]]-B213)/B213</f>
        <v>-4.8146570089475885E-2</v>
      </c>
      <c r="D214" s="2">
        <f>LN(int_data[[#This Row],[closes_alior]]/B213)</f>
        <v>-4.9344216221877436E-2</v>
      </c>
      <c r="E214">
        <v>155.59</v>
      </c>
      <c r="F214" s="2">
        <f>(int_data[[#This Row],[closes_ing]]-E213)/E213</f>
        <v>-1.0619356479715042E-2</v>
      </c>
      <c r="G214" s="2">
        <f>LN(int_data[[#This Row],[closes_ing]]/E213)</f>
        <v>-1.0676144236498491E-2</v>
      </c>
    </row>
    <row r="215" spans="1:7" x14ac:dyDescent="0.2">
      <c r="A215" s="1">
        <v>45140</v>
      </c>
      <c r="B215">
        <v>42.63</v>
      </c>
      <c r="C215" s="2">
        <f>(int_data[[#This Row],[closes_alior]]-B214)/B214</f>
        <v>-4.5881826320501279E-2</v>
      </c>
      <c r="D215" s="2">
        <f>LN(int_data[[#This Row],[closes_alior]]/B214)</f>
        <v>-4.6967743423880957E-2</v>
      </c>
      <c r="E215">
        <v>158.93</v>
      </c>
      <c r="F215" s="2">
        <f>(int_data[[#This Row],[closes_ing]]-E214)/E214</f>
        <v>2.1466675236197722E-2</v>
      </c>
      <c r="G215" s="2">
        <f>LN(int_data[[#This Row],[closes_ing]]/E214)</f>
        <v>2.1239511381856972E-2</v>
      </c>
    </row>
    <row r="216" spans="1:7" x14ac:dyDescent="0.2">
      <c r="A216" s="1">
        <v>45141</v>
      </c>
      <c r="B216">
        <v>43.21</v>
      </c>
      <c r="C216" s="2">
        <f>(int_data[[#This Row],[closes_alior]]-B215)/B215</f>
        <v>1.3605442176870708E-2</v>
      </c>
      <c r="D216" s="2">
        <f>LN(int_data[[#This Row],[closes_alior]]/B215)</f>
        <v>1.3513719166722855E-2</v>
      </c>
      <c r="E216">
        <v>163.95</v>
      </c>
      <c r="F216" s="2">
        <f>(int_data[[#This Row],[closes_ing]]-E215)/E215</f>
        <v>3.1586232932737567E-2</v>
      </c>
      <c r="G216" s="2">
        <f>LN(int_data[[#This Row],[closes_ing]]/E215)</f>
        <v>3.1097649581929013E-2</v>
      </c>
    </row>
    <row r="217" spans="1:7" x14ac:dyDescent="0.2">
      <c r="A217" s="1">
        <v>45142</v>
      </c>
      <c r="B217">
        <v>43.27</v>
      </c>
      <c r="C217" s="2">
        <f>(int_data[[#This Row],[closes_alior]]-B216)/B216</f>
        <v>1.3885674612358777E-3</v>
      </c>
      <c r="D217" s="2">
        <f>LN(int_data[[#This Row],[closes_alior]]/B216)</f>
        <v>1.3876042929517405E-3</v>
      </c>
      <c r="E217">
        <v>162.61000000000001</v>
      </c>
      <c r="F217" s="2">
        <f>(int_data[[#This Row],[closes_ing]]-E216)/E216</f>
        <v>-8.173223543763191E-3</v>
      </c>
      <c r="G217" s="2">
        <f>LN(int_data[[#This Row],[closes_ing]]/E216)</f>
        <v>-8.2068074530259882E-3</v>
      </c>
    </row>
    <row r="218" spans="1:7" x14ac:dyDescent="0.2">
      <c r="A218" s="1">
        <v>45143</v>
      </c>
      <c r="B218">
        <v>43.465000000000003</v>
      </c>
      <c r="C218" s="2">
        <f>(int_data[[#This Row],[closes_alior]]-B217)/B217</f>
        <v>4.5065865495724586E-3</v>
      </c>
      <c r="D218" s="2">
        <f>LN(int_data[[#This Row],[closes_alior]]/B217)</f>
        <v>4.4964622942341506E-3</v>
      </c>
      <c r="E218">
        <v>159.935</v>
      </c>
      <c r="F218" s="2">
        <f>(int_data[[#This Row],[closes_ing]]-E217)/E217</f>
        <v>-1.6450402804255651E-2</v>
      </c>
      <c r="G218" s="2">
        <f>LN(int_data[[#This Row],[closes_ing]]/E217)</f>
        <v>-1.6587213145691372E-2</v>
      </c>
    </row>
    <row r="219" spans="1:7" x14ac:dyDescent="0.2">
      <c r="A219" s="1">
        <v>45144</v>
      </c>
      <c r="B219">
        <v>43.66</v>
      </c>
      <c r="C219" s="2">
        <f>(int_data[[#This Row],[closes_alior]]-B218)/B218</f>
        <v>4.4863683423442581E-3</v>
      </c>
      <c r="D219" s="2">
        <f>LN(int_data[[#This Row],[closes_alior]]/B218)</f>
        <v>4.4763345907699384E-3</v>
      </c>
      <c r="E219">
        <v>157.26</v>
      </c>
      <c r="F219" s="2">
        <f>(int_data[[#This Row],[closes_ing]]-E218)/E218</f>
        <v>-1.6725544752555797E-2</v>
      </c>
      <c r="G219" s="2">
        <f>LN(int_data[[#This Row],[closes_ing]]/E218)</f>
        <v>-1.6866996128569955E-2</v>
      </c>
    </row>
    <row r="220" spans="1:7" x14ac:dyDescent="0.2">
      <c r="A220" s="1">
        <v>45145</v>
      </c>
      <c r="B220">
        <v>44.33</v>
      </c>
      <c r="C220" s="2">
        <f>(int_data[[#This Row],[closes_alior]]-B219)/B219</f>
        <v>1.5345854328905216E-2</v>
      </c>
      <c r="D220" s="2">
        <f>LN(int_data[[#This Row],[closes_alior]]/B219)</f>
        <v>1.5229297635164264E-2</v>
      </c>
      <c r="E220">
        <v>162.28</v>
      </c>
      <c r="F220" s="2">
        <f>(int_data[[#This Row],[closes_ing]]-E219)/E219</f>
        <v>3.1921658400101811E-2</v>
      </c>
      <c r="G220" s="2">
        <f>LN(int_data[[#This Row],[closes_ing]]/E219)</f>
        <v>3.1422751774876627E-2</v>
      </c>
    </row>
    <row r="221" spans="1:7" x14ac:dyDescent="0.2">
      <c r="A221" s="1">
        <v>45146</v>
      </c>
      <c r="B221">
        <v>44.68</v>
      </c>
      <c r="C221" s="2">
        <f>(int_data[[#This Row],[closes_alior]]-B220)/B220</f>
        <v>7.8953304759756694E-3</v>
      </c>
      <c r="D221" s="2">
        <f>LN(int_data[[#This Row],[closes_alior]]/B220)</f>
        <v>7.8643254440378448E-3</v>
      </c>
      <c r="E221">
        <v>162.28</v>
      </c>
      <c r="F221" s="2">
        <f>(int_data[[#This Row],[closes_ing]]-E220)/E220</f>
        <v>0</v>
      </c>
      <c r="G221" s="2">
        <f>LN(int_data[[#This Row],[closes_ing]]/E220)</f>
        <v>0</v>
      </c>
    </row>
    <row r="222" spans="1:7" x14ac:dyDescent="0.2">
      <c r="A222" s="1">
        <v>45147</v>
      </c>
      <c r="B222">
        <v>45.03</v>
      </c>
      <c r="C222" s="2">
        <f>(int_data[[#This Row],[closes_alior]]-B221)/B221</f>
        <v>7.8334825425246512E-3</v>
      </c>
      <c r="D222" s="2">
        <f>LN(int_data[[#This Row],[closes_alior]]/B221)</f>
        <v>7.8029601124802823E-3</v>
      </c>
      <c r="E222">
        <v>162.28</v>
      </c>
      <c r="F222" s="2">
        <f>(int_data[[#This Row],[closes_ing]]-E221)/E221</f>
        <v>0</v>
      </c>
      <c r="G222" s="2">
        <f>LN(int_data[[#This Row],[closes_ing]]/E221)</f>
        <v>0</v>
      </c>
    </row>
    <row r="223" spans="1:7" x14ac:dyDescent="0.2">
      <c r="A223" s="1">
        <v>45148</v>
      </c>
      <c r="B223">
        <v>44.91</v>
      </c>
      <c r="C223" s="2">
        <f>(int_data[[#This Row],[closes_alior]]-B222)/B222</f>
        <v>-2.6648900732845781E-3</v>
      </c>
      <c r="D223" s="2">
        <f>LN(int_data[[#This Row],[closes_alior]]/B222)</f>
        <v>-2.6684472138337524E-3</v>
      </c>
      <c r="E223">
        <v>161.11000000000001</v>
      </c>
      <c r="F223" s="2">
        <f>(int_data[[#This Row],[closes_ing]]-E222)/E222</f>
        <v>-7.2097609070741154E-3</v>
      </c>
      <c r="G223" s="2">
        <f>LN(int_data[[#This Row],[closes_ing]]/E222)</f>
        <v>-7.2358768353511958E-3</v>
      </c>
    </row>
    <row r="224" spans="1:7" x14ac:dyDescent="0.2">
      <c r="A224" s="1">
        <v>45149</v>
      </c>
      <c r="B224">
        <v>43.35</v>
      </c>
      <c r="C224" s="2">
        <f>(int_data[[#This Row],[closes_alior]]-B223)/B223</f>
        <v>-3.4736138944555676E-2</v>
      </c>
      <c r="D224" s="2">
        <f>LN(int_data[[#This Row],[closes_alior]]/B223)</f>
        <v>-3.5353783873095665E-2</v>
      </c>
      <c r="E224">
        <v>159.77000000000001</v>
      </c>
      <c r="F224" s="2">
        <f>(int_data[[#This Row],[closes_ing]]-E223)/E223</f>
        <v>-8.3172987399913311E-3</v>
      </c>
      <c r="G224" s="2">
        <f>LN(int_data[[#This Row],[closes_ing]]/E223)</f>
        <v>-8.3520804634150628E-3</v>
      </c>
    </row>
    <row r="225" spans="1:7" x14ac:dyDescent="0.2">
      <c r="A225" s="1">
        <v>45150</v>
      </c>
      <c r="B225">
        <v>43.43</v>
      </c>
      <c r="C225" s="2">
        <f>(int_data[[#This Row],[closes_alior]]-B224)/B224</f>
        <v>1.8454440599768925E-3</v>
      </c>
      <c r="D225" s="2">
        <f>LN(int_data[[#This Row],[closes_alior]]/B224)</f>
        <v>1.8437433201796021E-3</v>
      </c>
      <c r="E225">
        <v>161.28</v>
      </c>
      <c r="F225" s="2">
        <f>(int_data[[#This Row],[closes_ing]]-E224)/E224</f>
        <v>9.4510859360329904E-3</v>
      </c>
      <c r="G225" s="2">
        <f>LN(int_data[[#This Row],[closes_ing]]/E224)</f>
        <v>9.4067038435236127E-3</v>
      </c>
    </row>
    <row r="226" spans="1:7" x14ac:dyDescent="0.2">
      <c r="A226" s="1">
        <v>45151</v>
      </c>
      <c r="B226">
        <v>45.03</v>
      </c>
      <c r="C226" s="2">
        <f>(int_data[[#This Row],[closes_alior]]-B225)/B225</f>
        <v>3.6840893391664783E-2</v>
      </c>
      <c r="D226" s="2">
        <f>LN(int_data[[#This Row],[closes_alior]]/B225)</f>
        <v>3.6178487766749874E-2</v>
      </c>
      <c r="E226">
        <v>159.77000000000001</v>
      </c>
      <c r="F226" s="2">
        <f>(int_data[[#This Row],[closes_ing]]-E225)/E225</f>
        <v>-9.3625992063491505E-3</v>
      </c>
      <c r="G226" s="2">
        <f>LN(int_data[[#This Row],[closes_ing]]/E225)</f>
        <v>-9.4067038435235867E-3</v>
      </c>
    </row>
    <row r="227" spans="1:7" x14ac:dyDescent="0.2">
      <c r="A227" s="1">
        <v>45152</v>
      </c>
      <c r="B227">
        <v>43.92</v>
      </c>
      <c r="C227" s="2">
        <f>(int_data[[#This Row],[closes_alior]]-B226)/B226</f>
        <v>-2.4650233177881398E-2</v>
      </c>
      <c r="D227" s="2">
        <f>LN(int_data[[#This Row],[closes_alior]]/B226)</f>
        <v>-2.4959137112205071E-2</v>
      </c>
      <c r="E227">
        <v>155.09</v>
      </c>
      <c r="F227" s="2">
        <f>(int_data[[#This Row],[closes_ing]]-E226)/E226</f>
        <v>-2.9292107404393856E-2</v>
      </c>
      <c r="G227" s="2">
        <f>LN(int_data[[#This Row],[closes_ing]]/E226)</f>
        <v>-2.9729687468118698E-2</v>
      </c>
    </row>
    <row r="228" spans="1:7" x14ac:dyDescent="0.2">
      <c r="A228" s="1">
        <v>45153</v>
      </c>
      <c r="B228">
        <v>43.31</v>
      </c>
      <c r="C228" s="2">
        <f>(int_data[[#This Row],[closes_alior]]-B227)/B227</f>
        <v>-1.3888888888888876E-2</v>
      </c>
      <c r="D228" s="2">
        <f>LN(int_data[[#This Row],[closes_alior]]/B227)</f>
        <v>-1.3986241974739839E-2</v>
      </c>
      <c r="E228">
        <v>153.58000000000001</v>
      </c>
      <c r="F228" s="2">
        <f>(int_data[[#This Row],[closes_ing]]-E227)/E227</f>
        <v>-9.7362821587464749E-3</v>
      </c>
      <c r="G228" s="2">
        <f>LN(int_data[[#This Row],[closes_ing]]/E227)</f>
        <v>-9.7839896689638998E-3</v>
      </c>
    </row>
    <row r="229" spans="1:7" x14ac:dyDescent="0.2">
      <c r="A229" s="1">
        <v>45154</v>
      </c>
      <c r="B229">
        <v>43.04</v>
      </c>
      <c r="C229" s="2">
        <f>(int_data[[#This Row],[closes_alior]]-B228)/B228</f>
        <v>-6.2341260678827779E-3</v>
      </c>
      <c r="D229" s="2">
        <f>LN(int_data[[#This Row],[closes_alior]]/B228)</f>
        <v>-6.2536393730063819E-3</v>
      </c>
      <c r="E229">
        <v>153.33000000000001</v>
      </c>
      <c r="F229" s="2">
        <f>(int_data[[#This Row],[closes_ing]]-E228)/E228</f>
        <v>-1.6278161218908711E-3</v>
      </c>
      <c r="G229" s="2">
        <f>LN(int_data[[#This Row],[closes_ing]]/E228)</f>
        <v>-1.6291424540996221E-3</v>
      </c>
    </row>
    <row r="230" spans="1:7" x14ac:dyDescent="0.2">
      <c r="A230" s="1">
        <v>45155</v>
      </c>
      <c r="B230">
        <v>42.77</v>
      </c>
      <c r="C230" s="2">
        <f>(int_data[[#This Row],[closes_alior]]-B229)/B229</f>
        <v>-6.2732342007434019E-3</v>
      </c>
      <c r="D230" s="2">
        <f>LN(int_data[[#This Row],[closes_alior]]/B229)</f>
        <v>-6.2929936147116594E-3</v>
      </c>
      <c r="E230">
        <v>153.08000000000001</v>
      </c>
      <c r="F230" s="2">
        <f>(int_data[[#This Row],[closes_ing]]-E229)/E229</f>
        <v>-1.6304702276136436E-3</v>
      </c>
      <c r="G230" s="2">
        <f>LN(int_data[[#This Row],[closes_ing]]/E229)</f>
        <v>-1.6318008907963784E-3</v>
      </c>
    </row>
    <row r="231" spans="1:7" x14ac:dyDescent="0.2">
      <c r="A231" s="1">
        <v>45156</v>
      </c>
      <c r="B231">
        <v>43.38</v>
      </c>
      <c r="C231" s="2">
        <f>(int_data[[#This Row],[closes_alior]]-B230)/B230</f>
        <v>1.4262333411269567E-2</v>
      </c>
      <c r="D231" s="2">
        <f>LN(int_data[[#This Row],[closes_alior]]/B230)</f>
        <v>1.4161583159910958E-2</v>
      </c>
      <c r="E231">
        <v>155.25</v>
      </c>
      <c r="F231" s="2">
        <f>(int_data[[#This Row],[closes_ing]]-E230)/E230</f>
        <v>1.4175594460412774E-2</v>
      </c>
      <c r="G231" s="2">
        <f>LN(int_data[[#This Row],[closes_ing]]/E230)</f>
        <v>1.4076060256086501E-2</v>
      </c>
    </row>
    <row r="232" spans="1:7" x14ac:dyDescent="0.2">
      <c r="A232" s="1">
        <v>45157</v>
      </c>
      <c r="B232">
        <v>42.79</v>
      </c>
      <c r="C232" s="2">
        <f>(int_data[[#This Row],[closes_alior]]-B231)/B231</f>
        <v>-1.3600737667127787E-2</v>
      </c>
      <c r="D232" s="2">
        <f>LN(int_data[[#This Row],[closes_alior]]/B231)</f>
        <v>-1.3694074970002914E-2</v>
      </c>
      <c r="E232">
        <v>152.07499999999999</v>
      </c>
      <c r="F232" s="2">
        <f>(int_data[[#This Row],[closes_ing]]-E231)/E231</f>
        <v>-2.0450885668277047E-2</v>
      </c>
      <c r="G232" s="2">
        <f>LN(int_data[[#This Row],[closes_ing]]/E231)</f>
        <v>-2.0662900606819152E-2</v>
      </c>
    </row>
    <row r="233" spans="1:7" x14ac:dyDescent="0.2">
      <c r="A233" s="1">
        <v>45158</v>
      </c>
      <c r="B233">
        <v>42.2</v>
      </c>
      <c r="C233" s="2">
        <f>(int_data[[#This Row],[closes_alior]]-B232)/B232</f>
        <v>-1.3788268286982854E-2</v>
      </c>
      <c r="D233" s="2">
        <f>LN(int_data[[#This Row],[closes_alior]]/B232)</f>
        <v>-1.3884209386759281E-2</v>
      </c>
      <c r="E233">
        <v>148.9</v>
      </c>
      <c r="F233" s="2">
        <f>(int_data[[#This Row],[closes_ing]]-E232)/E232</f>
        <v>-2.0877856320894186E-2</v>
      </c>
      <c r="G233" s="2">
        <f>LN(int_data[[#This Row],[closes_ing]]/E232)</f>
        <v>-2.1098880516805672E-2</v>
      </c>
    </row>
    <row r="234" spans="1:7" x14ac:dyDescent="0.2">
      <c r="A234" s="1">
        <v>45159</v>
      </c>
      <c r="B234">
        <v>43.12</v>
      </c>
      <c r="C234" s="2">
        <f>(int_data[[#This Row],[closes_alior]]-B233)/B233</f>
        <v>2.1800947867298449E-2</v>
      </c>
      <c r="D234" s="2">
        <f>LN(int_data[[#This Row],[closes_alior]]/B233)</f>
        <v>2.1566705558775486E-2</v>
      </c>
      <c r="E234">
        <v>148.72999999999999</v>
      </c>
      <c r="F234" s="2">
        <f>(int_data[[#This Row],[closes_ing]]-E233)/E233</f>
        <v>-1.1417058428476556E-3</v>
      </c>
      <c r="G234" s="2">
        <f>LN(int_data[[#This Row],[closes_ing]]/E233)</f>
        <v>-1.1423580854568634E-3</v>
      </c>
    </row>
    <row r="235" spans="1:7" x14ac:dyDescent="0.2">
      <c r="A235" s="1">
        <v>45160</v>
      </c>
      <c r="B235">
        <v>45.03</v>
      </c>
      <c r="C235" s="2">
        <f>(int_data[[#This Row],[closes_alior]]-B234)/B234</f>
        <v>4.4294990723562237E-2</v>
      </c>
      <c r="D235" s="2">
        <f>LN(int_data[[#This Row],[closes_alior]]/B234)</f>
        <v>4.3342007712738544E-2</v>
      </c>
      <c r="E235">
        <v>150.57</v>
      </c>
      <c r="F235" s="2">
        <f>(int_data[[#This Row],[closes_ing]]-E234)/E234</f>
        <v>1.2371411282189226E-2</v>
      </c>
      <c r="G235" s="2">
        <f>LN(int_data[[#This Row],[closes_ing]]/E234)</f>
        <v>1.2295510730445547E-2</v>
      </c>
    </row>
    <row r="236" spans="1:7" x14ac:dyDescent="0.2">
      <c r="A236" s="1">
        <v>45161</v>
      </c>
      <c r="B236">
        <v>43.76</v>
      </c>
      <c r="C236" s="2">
        <f>(int_data[[#This Row],[closes_alior]]-B235)/B235</f>
        <v>-2.8203419942260784E-2</v>
      </c>
      <c r="D236" s="2">
        <f>LN(int_data[[#This Row],[closes_alior]]/B235)</f>
        <v>-2.8608776199754632E-2</v>
      </c>
      <c r="E236">
        <v>144.71</v>
      </c>
      <c r="F236" s="2">
        <f>(int_data[[#This Row],[closes_ing]]-E235)/E235</f>
        <v>-3.8918775320448865E-2</v>
      </c>
      <c r="G236" s="2">
        <f>LN(int_data[[#This Row],[closes_ing]]/E235)</f>
        <v>-3.9696352585050547E-2</v>
      </c>
    </row>
    <row r="237" spans="1:7" x14ac:dyDescent="0.2">
      <c r="A237" s="1">
        <v>45162</v>
      </c>
      <c r="B237">
        <v>43.03</v>
      </c>
      <c r="C237" s="2">
        <f>(int_data[[#This Row],[closes_alior]]-B236)/B236</f>
        <v>-1.6681901279707426E-2</v>
      </c>
      <c r="D237" s="2">
        <f>LN(int_data[[#This Row],[closes_alior]]/B236)</f>
        <v>-1.682261126321748E-2</v>
      </c>
      <c r="E237">
        <v>147.22</v>
      </c>
      <c r="F237" s="2">
        <f>(int_data[[#This Row],[closes_ing]]-E236)/E236</f>
        <v>1.7345034897380904E-2</v>
      </c>
      <c r="G237" s="2">
        <f>LN(int_data[[#This Row],[closes_ing]]/E236)</f>
        <v>1.7196326880658506E-2</v>
      </c>
    </row>
    <row r="238" spans="1:7" x14ac:dyDescent="0.2">
      <c r="A238" s="1">
        <v>45163</v>
      </c>
      <c r="B238">
        <v>45.64</v>
      </c>
      <c r="C238" s="2">
        <f>(int_data[[#This Row],[closes_alior]]-B237)/B237</f>
        <v>6.0655356727864262E-2</v>
      </c>
      <c r="D238" s="2">
        <f>LN(int_data[[#This Row],[closes_alior]]/B237)</f>
        <v>5.8886978143366603E-2</v>
      </c>
      <c r="E238">
        <v>150.07</v>
      </c>
      <c r="F238" s="2">
        <f>(int_data[[#This Row],[closes_ing]]-E237)/E237</f>
        <v>1.9358782774079569E-2</v>
      </c>
      <c r="G238" s="2">
        <f>LN(int_data[[#This Row],[closes_ing]]/E237)</f>
        <v>1.9173785277338283E-2</v>
      </c>
    </row>
    <row r="239" spans="1:7" x14ac:dyDescent="0.2">
      <c r="A239" s="1">
        <v>45164</v>
      </c>
      <c r="B239">
        <v>45.93</v>
      </c>
      <c r="C239" s="2">
        <f>(int_data[[#This Row],[closes_alior]]-B238)/B238</f>
        <v>6.3540753724802617E-3</v>
      </c>
      <c r="D239" s="2">
        <f>LN(int_data[[#This Row],[closes_alior]]/B238)</f>
        <v>6.3339733438271357E-3</v>
      </c>
      <c r="E239">
        <v>148.9</v>
      </c>
      <c r="F239" s="2">
        <f>(int_data[[#This Row],[closes_ing]]-E238)/E238</f>
        <v>-7.7963616978742427E-3</v>
      </c>
      <c r="G239" s="2">
        <f>LN(int_data[[#This Row],[closes_ing]]/E238)</f>
        <v>-7.8269122179348248E-3</v>
      </c>
    </row>
    <row r="240" spans="1:7" x14ac:dyDescent="0.2">
      <c r="A240" s="1">
        <v>45165</v>
      </c>
      <c r="B240">
        <v>47.19</v>
      </c>
      <c r="C240" s="2">
        <f>(int_data[[#This Row],[closes_alior]]-B239)/B239</f>
        <v>2.7433050293925496E-2</v>
      </c>
      <c r="D240" s="2">
        <f>LN(int_data[[#This Row],[closes_alior]]/B239)</f>
        <v>2.7063507400594041E-2</v>
      </c>
      <c r="E240">
        <v>149.48500000000001</v>
      </c>
      <c r="F240" s="2">
        <f>(int_data[[#This Row],[closes_ing]]-E239)/E239</f>
        <v>3.9288112827401472E-3</v>
      </c>
      <c r="G240" s="2">
        <f>LN(int_data[[#This Row],[closes_ing]]/E239)</f>
        <v>3.9211136587799806E-3</v>
      </c>
    </row>
    <row r="241" spans="1:7" x14ac:dyDescent="0.2">
      <c r="A241" s="1">
        <v>45166</v>
      </c>
      <c r="B241">
        <v>48.45</v>
      </c>
      <c r="C241" s="2">
        <f>(int_data[[#This Row],[closes_alior]]-B240)/B240</f>
        <v>2.670057215511772E-2</v>
      </c>
      <c r="D241" s="2">
        <f>LN(int_data[[#This Row],[closes_alior]]/B240)</f>
        <v>2.6350332598479152E-2</v>
      </c>
      <c r="E241">
        <v>150.07</v>
      </c>
      <c r="F241" s="2">
        <f>(int_data[[#This Row],[closes_ing]]-E240)/E240</f>
        <v>3.9134361307153189E-3</v>
      </c>
      <c r="G241" s="2">
        <f>LN(int_data[[#This Row],[closes_ing]]/E240)</f>
        <v>3.9057985591550138E-3</v>
      </c>
    </row>
    <row r="242" spans="1:7" x14ac:dyDescent="0.2">
      <c r="A242" s="1">
        <v>45167</v>
      </c>
      <c r="B242">
        <v>50.7</v>
      </c>
      <c r="C242" s="2">
        <f>(int_data[[#This Row],[closes_alior]]-B241)/B241</f>
        <v>4.6439628482972131E-2</v>
      </c>
      <c r="D242" s="2">
        <f>LN(int_data[[#This Row],[closes_alior]]/B241)</f>
        <v>4.5393572260362329E-2</v>
      </c>
      <c r="E242">
        <v>156.43</v>
      </c>
      <c r="F242" s="2">
        <f>(int_data[[#This Row],[closes_ing]]-E241)/E241</f>
        <v>4.2380222562804118E-2</v>
      </c>
      <c r="G242" s="2">
        <f>LN(int_data[[#This Row],[closes_ing]]/E241)</f>
        <v>4.1506773665780726E-2</v>
      </c>
    </row>
    <row r="243" spans="1:7" x14ac:dyDescent="0.2">
      <c r="A243" s="1">
        <v>45168</v>
      </c>
      <c r="B243">
        <v>50.725000000000001</v>
      </c>
      <c r="C243" s="2">
        <f>(int_data[[#This Row],[closes_alior]]-B242)/B242</f>
        <v>4.9309664694277273E-4</v>
      </c>
      <c r="D243" s="2">
        <f>LN(int_data[[#This Row],[closes_alior]]/B242)</f>
        <v>4.9297511474090763E-4</v>
      </c>
      <c r="E243">
        <v>157.26499999999999</v>
      </c>
      <c r="F243" s="2">
        <f>(int_data[[#This Row],[closes_ing]]-E242)/E242</f>
        <v>5.3378507958830113E-3</v>
      </c>
      <c r="G243" s="2">
        <f>LN(int_data[[#This Row],[closes_ing]]/E242)</f>
        <v>5.3236549647353235E-3</v>
      </c>
    </row>
    <row r="244" spans="1:7" x14ac:dyDescent="0.2">
      <c r="A244" s="1">
        <v>45169</v>
      </c>
      <c r="B244">
        <v>50.75</v>
      </c>
      <c r="C244" s="2">
        <f>(int_data[[#This Row],[closes_alior]]-B243)/B243</f>
        <v>4.9285362247409713E-4</v>
      </c>
      <c r="D244" s="2">
        <f>LN(int_data[[#This Row],[closes_alior]]/B243)</f>
        <v>4.9273221001834675E-4</v>
      </c>
      <c r="E244">
        <v>158.1</v>
      </c>
      <c r="F244" s="2">
        <f>(int_data[[#This Row],[closes_ing]]-E243)/E243</f>
        <v>5.309509426763794E-3</v>
      </c>
      <c r="G244" s="2">
        <f>LN(int_data[[#This Row],[closes_ing]]/E243)</f>
        <v>5.2954636770121003E-3</v>
      </c>
    </row>
    <row r="245" spans="1:7" x14ac:dyDescent="0.2">
      <c r="A245" s="1">
        <v>45170</v>
      </c>
      <c r="B245">
        <v>52.73</v>
      </c>
      <c r="C245" s="2">
        <f>(int_data[[#This Row],[closes_alior]]-B244)/B244</f>
        <v>3.9014778325123088E-2</v>
      </c>
      <c r="D245" s="2">
        <f>LN(int_data[[#This Row],[closes_alior]]/B244)</f>
        <v>3.8272935620481674E-2</v>
      </c>
      <c r="E245">
        <v>159.77000000000001</v>
      </c>
      <c r="F245" s="2">
        <f>(int_data[[#This Row],[closes_ing]]-E244)/E244</f>
        <v>1.0562934851359999E-2</v>
      </c>
      <c r="G245" s="2">
        <f>LN(int_data[[#This Row],[closes_ing]]/E244)</f>
        <v>1.0507536824054017E-2</v>
      </c>
    </row>
    <row r="246" spans="1:7" x14ac:dyDescent="0.2">
      <c r="A246" s="1">
        <v>45171</v>
      </c>
      <c r="B246">
        <v>52.02</v>
      </c>
      <c r="C246" s="2">
        <f>(int_data[[#This Row],[closes_alior]]-B245)/B245</f>
        <v>-1.3464820785131686E-2</v>
      </c>
      <c r="D246" s="2">
        <f>LN(int_data[[#This Row],[closes_alior]]/B245)</f>
        <v>-1.3556293521872794E-2</v>
      </c>
      <c r="E246">
        <v>160.27000000000001</v>
      </c>
      <c r="F246" s="2">
        <f>(int_data[[#This Row],[closes_ing]]-E245)/E245</f>
        <v>3.1294986543155784E-3</v>
      </c>
      <c r="G246" s="2">
        <f>LN(int_data[[#This Row],[closes_ing]]/E245)</f>
        <v>3.1246119660037958E-3</v>
      </c>
    </row>
    <row r="247" spans="1:7" x14ac:dyDescent="0.2">
      <c r="A247" s="1">
        <v>45172</v>
      </c>
      <c r="B247">
        <v>52.68</v>
      </c>
      <c r="C247" s="2">
        <f>(int_data[[#This Row],[closes_alior]]-B246)/B246</f>
        <v>1.2687427912341341E-2</v>
      </c>
      <c r="D247" s="2">
        <f>LN(int_data[[#This Row],[closes_alior]]/B246)</f>
        <v>1.2607616854574634E-2</v>
      </c>
      <c r="E247">
        <v>161.78</v>
      </c>
      <c r="F247" s="2">
        <f>(int_data[[#This Row],[closes_ing]]-E246)/E246</f>
        <v>9.4216010482310528E-3</v>
      </c>
      <c r="G247" s="2">
        <f>LN(int_data[[#This Row],[closes_ing]]/E246)</f>
        <v>9.377494584322521E-3</v>
      </c>
    </row>
    <row r="248" spans="1:7" x14ac:dyDescent="0.2">
      <c r="A248" s="1">
        <v>45173</v>
      </c>
      <c r="B248">
        <v>54.33</v>
      </c>
      <c r="C248" s="2">
        <f>(int_data[[#This Row],[closes_alior]]-B247)/B247</f>
        <v>3.1321184510250545E-2</v>
      </c>
      <c r="D248" s="2">
        <f>LN(int_data[[#This Row],[closes_alior]]/B247)</f>
        <v>3.0840683688351411E-2</v>
      </c>
      <c r="E248">
        <v>172.74</v>
      </c>
      <c r="F248" s="2">
        <f>(int_data[[#This Row],[closes_ing]]-E247)/E247</f>
        <v>6.7746322165904357E-2</v>
      </c>
      <c r="G248" s="2">
        <f>LN(int_data[[#This Row],[closes_ing]]/E247)</f>
        <v>6.5550186262332902E-2</v>
      </c>
    </row>
    <row r="249" spans="1:7" x14ac:dyDescent="0.2">
      <c r="A249" s="1">
        <v>45174</v>
      </c>
      <c r="B249">
        <v>54.94</v>
      </c>
      <c r="C249" s="2">
        <f>(int_data[[#This Row],[closes_alior]]-B248)/B248</f>
        <v>1.1227682679919004E-2</v>
      </c>
      <c r="D249" s="2">
        <f>LN(int_data[[#This Row],[closes_alior]]/B248)</f>
        <v>1.1165120103696002E-2</v>
      </c>
      <c r="E249">
        <v>175.66</v>
      </c>
      <c r="F249" s="2">
        <f>(int_data[[#This Row],[closes_ing]]-E248)/E248</f>
        <v>1.6904017598703181E-2</v>
      </c>
      <c r="G249" s="2">
        <f>LN(int_data[[#This Row],[closes_ing]]/E248)</f>
        <v>1.6762734636831773E-2</v>
      </c>
    </row>
    <row r="250" spans="1:7" x14ac:dyDescent="0.2">
      <c r="A250" s="1">
        <v>45175</v>
      </c>
      <c r="B250">
        <v>54.16</v>
      </c>
      <c r="C250" s="2">
        <f>(int_data[[#This Row],[closes_alior]]-B249)/B249</f>
        <v>-1.4197306152166021E-2</v>
      </c>
      <c r="D250" s="2">
        <f>LN(int_data[[#This Row],[closes_alior]]/B249)</f>
        <v>-1.429905206310822E-2</v>
      </c>
      <c r="E250">
        <v>176.92</v>
      </c>
      <c r="F250" s="2">
        <f>(int_data[[#This Row],[closes_ing]]-E249)/E249</f>
        <v>7.1729477399521289E-3</v>
      </c>
      <c r="G250" s="2">
        <f>LN(int_data[[#This Row],[closes_ing]]/E249)</f>
        <v>7.1473445111545214E-3</v>
      </c>
    </row>
    <row r="251" spans="1:7" x14ac:dyDescent="0.2">
      <c r="A251" s="1">
        <v>45176</v>
      </c>
      <c r="B251">
        <v>54.03</v>
      </c>
      <c r="C251" s="2">
        <f>(int_data[[#This Row],[closes_alior]]-B250)/B250</f>
        <v>-2.4002954209748056E-3</v>
      </c>
      <c r="D251" s="2">
        <f>LN(int_data[[#This Row],[closes_alior]]/B250)</f>
        <v>-2.4031807480450139E-3</v>
      </c>
      <c r="E251">
        <v>174.62</v>
      </c>
      <c r="F251" s="2">
        <f>(int_data[[#This Row],[closes_ing]]-E250)/E250</f>
        <v>-1.3000226090888441E-2</v>
      </c>
      <c r="G251" s="2">
        <f>LN(int_data[[#This Row],[closes_ing]]/E250)</f>
        <v>-1.3085468617464346E-2</v>
      </c>
    </row>
    <row r="252" spans="1:7" x14ac:dyDescent="0.2">
      <c r="A252" s="1">
        <v>45177</v>
      </c>
      <c r="B252">
        <v>53.9</v>
      </c>
      <c r="C252" s="2">
        <f>(int_data[[#This Row],[closes_alior]]-B251)/B251</f>
        <v>-2.406070701462198E-3</v>
      </c>
      <c r="D252" s="2">
        <f>LN(int_data[[#This Row],[closes_alior]]/B251)</f>
        <v>-2.4089699410229292E-3</v>
      </c>
      <c r="E252">
        <v>172.32</v>
      </c>
      <c r="F252" s="2">
        <f>(int_data[[#This Row],[closes_ing]]-E251)/E251</f>
        <v>-1.3171458023136018E-2</v>
      </c>
      <c r="G252" s="2">
        <f>LN(int_data[[#This Row],[closes_ing]]/E251)</f>
        <v>-1.3258970974583225E-2</v>
      </c>
    </row>
    <row r="253" spans="1:7" x14ac:dyDescent="0.2">
      <c r="A253" s="1">
        <v>45178</v>
      </c>
      <c r="B253">
        <v>53.79</v>
      </c>
      <c r="C253" s="2">
        <f>(int_data[[#This Row],[closes_alior]]-B252)/B252</f>
        <v>-2.0408163265306016E-3</v>
      </c>
      <c r="D253" s="2">
        <f>LN(int_data[[#This Row],[closes_alior]]/B252)</f>
        <v>-2.0429016298002933E-3</v>
      </c>
      <c r="E253">
        <v>169.39</v>
      </c>
      <c r="F253" s="2">
        <f>(int_data[[#This Row],[closes_ing]]-E252)/E252</f>
        <v>-1.7003249767873763E-2</v>
      </c>
      <c r="G253" s="2">
        <f>LN(int_data[[#This Row],[closes_ing]]/E252)</f>
        <v>-1.7149464809788045E-2</v>
      </c>
    </row>
    <row r="254" spans="1:7" x14ac:dyDescent="0.2">
      <c r="A254" s="1">
        <v>45179</v>
      </c>
      <c r="B254">
        <v>53.73</v>
      </c>
      <c r="C254" s="2">
        <f>(int_data[[#This Row],[closes_alior]]-B253)/B253</f>
        <v>-1.1154489682097468E-3</v>
      </c>
      <c r="D254" s="2">
        <f>LN(int_data[[#This Row],[closes_alior]]/B253)</f>
        <v>-1.1160715444210934E-3</v>
      </c>
      <c r="E254">
        <v>170.435</v>
      </c>
      <c r="F254" s="2">
        <f>(int_data[[#This Row],[closes_ing]]-E253)/E253</f>
        <v>6.1691953480135543E-3</v>
      </c>
      <c r="G254" s="2">
        <f>LN(int_data[[#This Row],[closes_ing]]/E253)</f>
        <v>6.1502437664588379E-3</v>
      </c>
    </row>
    <row r="255" spans="1:7" x14ac:dyDescent="0.2">
      <c r="A255" s="1">
        <v>45180</v>
      </c>
      <c r="B255">
        <v>53.67</v>
      </c>
      <c r="C255" s="2">
        <f>(int_data[[#This Row],[closes_alior]]-B254)/B254</f>
        <v>-1.1166945840311777E-3</v>
      </c>
      <c r="D255" s="2">
        <f>LN(int_data[[#This Row],[closes_alior]]/B254)</f>
        <v>-1.1173185519925367E-3</v>
      </c>
      <c r="E255">
        <v>171.48</v>
      </c>
      <c r="F255" s="2">
        <f>(int_data[[#This Row],[closes_ing]]-E254)/E254</f>
        <v>6.1313697303956782E-3</v>
      </c>
      <c r="G255" s="2">
        <f>LN(int_data[[#This Row],[closes_ing]]/E254)</f>
        <v>6.1126493650271877E-3</v>
      </c>
    </row>
    <row r="256" spans="1:7" x14ac:dyDescent="0.2">
      <c r="A256" s="1">
        <v>45181</v>
      </c>
      <c r="B256">
        <v>55.63</v>
      </c>
      <c r="C256" s="2">
        <f>(int_data[[#This Row],[closes_alior]]-B255)/B255</f>
        <v>3.6519470840320492E-2</v>
      </c>
      <c r="D256" s="2">
        <f>LN(int_data[[#This Row],[closes_alior]]/B255)</f>
        <v>3.5868437898464361E-2</v>
      </c>
      <c r="E256">
        <v>173.99</v>
      </c>
      <c r="F256" s="2">
        <f>(int_data[[#This Row],[closes_ing]]-E255)/E255</f>
        <v>1.4637275484021574E-2</v>
      </c>
      <c r="G256" s="2">
        <f>LN(int_data[[#This Row],[closes_ing]]/E255)</f>
        <v>1.4531184568848615E-2</v>
      </c>
    </row>
    <row r="257" spans="1:7" x14ac:dyDescent="0.2">
      <c r="A257" s="1">
        <v>45182</v>
      </c>
      <c r="B257">
        <v>56.33</v>
      </c>
      <c r="C257" s="2">
        <f>(int_data[[#This Row],[closes_alior]]-B256)/B256</f>
        <v>1.2583138594283583E-2</v>
      </c>
      <c r="D257" s="2">
        <f>LN(int_data[[#This Row],[closes_alior]]/B256)</f>
        <v>1.2504628819420712E-2</v>
      </c>
      <c r="E257">
        <v>173.99</v>
      </c>
      <c r="F257" s="2">
        <f>(int_data[[#This Row],[closes_ing]]-E256)/E256</f>
        <v>0</v>
      </c>
      <c r="G257" s="2">
        <f>LN(int_data[[#This Row],[closes_ing]]/E256)</f>
        <v>0</v>
      </c>
    </row>
    <row r="258" spans="1:7" x14ac:dyDescent="0.2">
      <c r="A258" s="1">
        <v>45183</v>
      </c>
      <c r="B258">
        <v>57.37</v>
      </c>
      <c r="C258" s="2">
        <f>(int_data[[#This Row],[closes_alior]]-B257)/B257</f>
        <v>1.8462630924906784E-2</v>
      </c>
      <c r="D258" s="2">
        <f>LN(int_data[[#This Row],[closes_alior]]/B257)</f>
        <v>1.8294265707157038E-2</v>
      </c>
      <c r="E258">
        <v>175.25</v>
      </c>
      <c r="F258" s="2">
        <f>(int_data[[#This Row],[closes_ing]]-E257)/E257</f>
        <v>7.2417955054887686E-3</v>
      </c>
      <c r="G258" s="2">
        <f>LN(int_data[[#This Row],[closes_ing]]/E257)</f>
        <v>7.2156996160746981E-3</v>
      </c>
    </row>
    <row r="259" spans="1:7" x14ac:dyDescent="0.2">
      <c r="A259" s="1">
        <v>45184</v>
      </c>
      <c r="B259">
        <v>56.59</v>
      </c>
      <c r="C259" s="2">
        <f>(int_data[[#This Row],[closes_alior]]-B258)/B258</f>
        <v>-1.3595956074603347E-2</v>
      </c>
      <c r="D259" s="2">
        <f>LN(int_data[[#This Row],[closes_alior]]/B258)</f>
        <v>-1.3689227459347177E-2</v>
      </c>
      <c r="E259">
        <v>171.48</v>
      </c>
      <c r="F259" s="2">
        <f>(int_data[[#This Row],[closes_ing]]-E258)/E258</f>
        <v>-2.1512125534950129E-2</v>
      </c>
      <c r="G259" s="2">
        <f>LN(int_data[[#This Row],[closes_ing]]/E258)</f>
        <v>-2.174688418492313E-2</v>
      </c>
    </row>
    <row r="260" spans="1:7" x14ac:dyDescent="0.2">
      <c r="A260" s="1">
        <v>45185</v>
      </c>
      <c r="B260">
        <v>56.93</v>
      </c>
      <c r="C260" s="2">
        <f>(int_data[[#This Row],[closes_alior]]-B259)/B259</f>
        <v>6.0081286446367959E-3</v>
      </c>
      <c r="D260" s="2">
        <f>LN(int_data[[#This Row],[closes_alior]]/B259)</f>
        <v>5.9901518085579229E-3</v>
      </c>
      <c r="E260">
        <v>175.035</v>
      </c>
      <c r="F260" s="2">
        <f>(int_data[[#This Row],[closes_ing]]-E259)/E259</f>
        <v>2.0731280615815296E-2</v>
      </c>
      <c r="G260" s="2">
        <f>LN(int_data[[#This Row],[closes_ing]]/E259)</f>
        <v>2.0519312196404023E-2</v>
      </c>
    </row>
    <row r="261" spans="1:7" x14ac:dyDescent="0.2">
      <c r="A261" s="1">
        <v>45186</v>
      </c>
      <c r="B261">
        <v>57.27</v>
      </c>
      <c r="C261" s="2">
        <f>(int_data[[#This Row],[closes_alior]]-B260)/B260</f>
        <v>5.9722466186545482E-3</v>
      </c>
      <c r="D261" s="2">
        <f>LN(int_data[[#This Row],[closes_alior]]/B260)</f>
        <v>5.954483442775411E-3</v>
      </c>
      <c r="E261">
        <v>178.59</v>
      </c>
      <c r="F261" s="2">
        <f>(int_data[[#This Row],[closes_ing]]-E260)/E260</f>
        <v>2.0310223669551843E-2</v>
      </c>
      <c r="G261" s="2">
        <f>LN(int_data[[#This Row],[closes_ing]]/E260)</f>
        <v>2.0106721907228123E-2</v>
      </c>
    </row>
    <row r="262" spans="1:7" x14ac:dyDescent="0.2">
      <c r="A262" s="1">
        <v>45187</v>
      </c>
      <c r="B262">
        <v>57.53</v>
      </c>
      <c r="C262" s="2">
        <f>(int_data[[#This Row],[closes_alior]]-B261)/B261</f>
        <v>4.5398987253360921E-3</v>
      </c>
      <c r="D262" s="2">
        <f>LN(int_data[[#This Row],[closes_alior]]/B261)</f>
        <v>4.529624469436013E-3</v>
      </c>
      <c r="E262">
        <v>182.77</v>
      </c>
      <c r="F262" s="2">
        <f>(int_data[[#This Row],[closes_ing]]-E261)/E261</f>
        <v>2.3405565821154637E-2</v>
      </c>
      <c r="G262" s="2">
        <f>LN(int_data[[#This Row],[closes_ing]]/E261)</f>
        <v>2.313585593294247E-2</v>
      </c>
    </row>
    <row r="263" spans="1:7" x14ac:dyDescent="0.2">
      <c r="A263" s="1">
        <v>45188</v>
      </c>
      <c r="B263">
        <v>57.51</v>
      </c>
      <c r="C263" s="2">
        <f>(int_data[[#This Row],[closes_alior]]-B262)/B262</f>
        <v>-3.476447071093886E-4</v>
      </c>
      <c r="D263" s="2">
        <f>LN(int_data[[#This Row],[closes_alior]]/B262)</f>
        <v>-3.4770514953927508E-4</v>
      </c>
      <c r="E263">
        <v>184.03</v>
      </c>
      <c r="F263" s="2">
        <f>(int_data[[#This Row],[closes_ing]]-E262)/E262</f>
        <v>6.8939103791650211E-3</v>
      </c>
      <c r="G263" s="2">
        <f>LN(int_data[[#This Row],[closes_ing]]/E262)</f>
        <v>6.8702560307522748E-3</v>
      </c>
    </row>
    <row r="264" spans="1:7" x14ac:dyDescent="0.2">
      <c r="A264" s="1">
        <v>45189</v>
      </c>
      <c r="B264">
        <v>57.795000000000002</v>
      </c>
      <c r="C264" s="2">
        <f>(int_data[[#This Row],[closes_alior]]-B263)/B263</f>
        <v>4.955659885237414E-3</v>
      </c>
      <c r="D264" s="2">
        <f>LN(int_data[[#This Row],[closes_alior]]/B263)</f>
        <v>4.9434210205678165E-3</v>
      </c>
      <c r="E264">
        <v>188.63</v>
      </c>
      <c r="F264" s="2">
        <f>(int_data[[#This Row],[closes_ing]]-E263)/E263</f>
        <v>2.4995924577514504E-2</v>
      </c>
      <c r="G264" s="2">
        <f>LN(int_data[[#This Row],[closes_ing]]/E263)</f>
        <v>2.4688636560529963E-2</v>
      </c>
    </row>
    <row r="265" spans="1:7" x14ac:dyDescent="0.2">
      <c r="A265" s="1">
        <v>45190</v>
      </c>
      <c r="B265">
        <v>58.08</v>
      </c>
      <c r="C265" s="2">
        <f>(int_data[[#This Row],[closes_alior]]-B264)/B264</f>
        <v>4.931222424085069E-3</v>
      </c>
      <c r="D265" s="2">
        <f>LN(int_data[[#This Row],[closes_alior]]/B264)</f>
        <v>4.9191037703100885E-3</v>
      </c>
      <c r="E265">
        <v>193.23</v>
      </c>
      <c r="F265" s="2">
        <f>(int_data[[#This Row],[closes_ing]]-E264)/E264</f>
        <v>2.4386364841223529E-2</v>
      </c>
      <c r="G265" s="2">
        <f>LN(int_data[[#This Row],[closes_ing]]/E264)</f>
        <v>2.4093764869275745E-2</v>
      </c>
    </row>
    <row r="266" spans="1:7" x14ac:dyDescent="0.2">
      <c r="A266" s="1">
        <v>45191</v>
      </c>
      <c r="B266">
        <v>59.2</v>
      </c>
      <c r="C266" s="2">
        <f>(int_data[[#This Row],[closes_alior]]-B265)/B265</f>
        <v>1.928374655647391E-2</v>
      </c>
      <c r="D266" s="2">
        <f>LN(int_data[[#This Row],[closes_alior]]/B265)</f>
        <v>1.910017137341943E-2</v>
      </c>
      <c r="E266">
        <v>198.67</v>
      </c>
      <c r="F266" s="2">
        <f>(int_data[[#This Row],[closes_ing]]-E265)/E265</f>
        <v>2.8152978315996471E-2</v>
      </c>
      <c r="G266" s="2">
        <f>LN(int_data[[#This Row],[closes_ing]]/E265)</f>
        <v>2.7763967553063019E-2</v>
      </c>
    </row>
    <row r="267" spans="1:7" x14ac:dyDescent="0.2">
      <c r="A267" s="1">
        <v>45192</v>
      </c>
      <c r="B267">
        <v>59.375</v>
      </c>
      <c r="C267" s="2">
        <f>(int_data[[#This Row],[closes_alior]]-B266)/B266</f>
        <v>2.9560810810810331E-3</v>
      </c>
      <c r="D267" s="2">
        <f>LN(int_data[[#This Row],[closes_alior]]/B266)</f>
        <v>2.9517204648453429E-3</v>
      </c>
      <c r="E267">
        <v>195.32499999999999</v>
      </c>
      <c r="F267" s="2">
        <f>(int_data[[#This Row],[closes_ing]]-E266)/E266</f>
        <v>-1.6836965822721092E-2</v>
      </c>
      <c r="G267" s="2">
        <f>LN(int_data[[#This Row],[closes_ing]]/E266)</f>
        <v>-1.6980318897164139E-2</v>
      </c>
    </row>
    <row r="268" spans="1:7" x14ac:dyDescent="0.2">
      <c r="A268" s="1">
        <v>45193</v>
      </c>
      <c r="B268">
        <v>59.55</v>
      </c>
      <c r="C268" s="2">
        <f>(int_data[[#This Row],[closes_alior]]-B267)/B267</f>
        <v>2.9473684210525835E-3</v>
      </c>
      <c r="D268" s="2">
        <f>LN(int_data[[#This Row],[closes_alior]]/B267)</f>
        <v>2.943033446503786E-3</v>
      </c>
      <c r="E268">
        <v>191.98</v>
      </c>
      <c r="F268" s="2">
        <f>(int_data[[#This Row],[closes_ing]]-E267)/E267</f>
        <v>-1.712530398054524E-2</v>
      </c>
      <c r="G268" s="2">
        <f>LN(int_data[[#This Row],[closes_ing]]/E267)</f>
        <v>-1.7273637947417136E-2</v>
      </c>
    </row>
    <row r="269" spans="1:7" x14ac:dyDescent="0.2">
      <c r="A269" s="1">
        <v>45194</v>
      </c>
      <c r="B269">
        <v>59.82</v>
      </c>
      <c r="C269" s="2">
        <f>(int_data[[#This Row],[closes_alior]]-B268)/B268</f>
        <v>4.5340050377834281E-3</v>
      </c>
      <c r="D269" s="2">
        <f>LN(int_data[[#This Row],[closes_alior]]/B268)</f>
        <v>4.5237574004928166E-3</v>
      </c>
      <c r="E269">
        <v>195.74</v>
      </c>
      <c r="F269" s="2">
        <f>(int_data[[#This Row],[closes_ing]]-E268)/E268</f>
        <v>1.9585373476403895E-2</v>
      </c>
      <c r="G269" s="2">
        <f>LN(int_data[[#This Row],[closes_ing]]/E268)</f>
        <v>1.9396048062282772E-2</v>
      </c>
    </row>
    <row r="270" spans="1:7" x14ac:dyDescent="0.2">
      <c r="A270" s="1">
        <v>45195</v>
      </c>
      <c r="B270">
        <v>60.52</v>
      </c>
      <c r="C270" s="2">
        <f>(int_data[[#This Row],[closes_alior]]-B269)/B269</f>
        <v>1.1701771982614557E-2</v>
      </c>
      <c r="D270" s="2">
        <f>LN(int_data[[#This Row],[closes_alior]]/B269)</f>
        <v>1.1633835718353159E-2</v>
      </c>
      <c r="E270">
        <v>200.76</v>
      </c>
      <c r="F270" s="2">
        <f>(int_data[[#This Row],[closes_ing]]-E269)/E269</f>
        <v>2.5646265454173811E-2</v>
      </c>
      <c r="G270" s="2">
        <f>LN(int_data[[#This Row],[closes_ing]]/E269)</f>
        <v>2.5322916789059374E-2</v>
      </c>
    </row>
    <row r="271" spans="1:7" x14ac:dyDescent="0.2">
      <c r="A271" s="1">
        <v>45196</v>
      </c>
      <c r="B271">
        <v>59.41</v>
      </c>
      <c r="C271" s="2">
        <f>(int_data[[#This Row],[closes_alior]]-B270)/B270</f>
        <v>-1.8341044282881799E-2</v>
      </c>
      <c r="D271" s="2">
        <f>LN(int_data[[#This Row],[closes_alior]]/B270)</f>
        <v>-1.8511326552505158E-2</v>
      </c>
      <c r="E271">
        <v>199.09</v>
      </c>
      <c r="F271" s="2">
        <f>(int_data[[#This Row],[closes_ing]]-E270)/E270</f>
        <v>-8.3183901175532364E-3</v>
      </c>
      <c r="G271" s="2">
        <f>LN(int_data[[#This Row],[closes_ing]]/E270)</f>
        <v>-8.3531809950276852E-3</v>
      </c>
    </row>
    <row r="272" spans="1:7" x14ac:dyDescent="0.2">
      <c r="A272" s="1">
        <v>45197</v>
      </c>
      <c r="B272">
        <v>60.19</v>
      </c>
      <c r="C272" s="2">
        <f>(int_data[[#This Row],[closes_alior]]-B271)/B271</f>
        <v>1.312910284463897E-2</v>
      </c>
      <c r="D272" s="2">
        <f>LN(int_data[[#This Row],[closes_alior]]/B271)</f>
        <v>1.3043663192029398E-2</v>
      </c>
      <c r="E272">
        <v>191.14</v>
      </c>
      <c r="F272" s="2">
        <f>(int_data[[#This Row],[closes_ing]]-E271)/E271</f>
        <v>-3.9931689185795455E-2</v>
      </c>
      <c r="G272" s="2">
        <f>LN(int_data[[#This Row],[closes_ing]]/E271)</f>
        <v>-4.0750839953671639E-2</v>
      </c>
    </row>
    <row r="273" spans="1:7" x14ac:dyDescent="0.2">
      <c r="A273" s="1">
        <v>45198</v>
      </c>
      <c r="B273">
        <v>62.54</v>
      </c>
      <c r="C273" s="2">
        <f>(int_data[[#This Row],[closes_alior]]-B272)/B272</f>
        <v>3.9043030403721576E-2</v>
      </c>
      <c r="D273" s="2">
        <f>LN(int_data[[#This Row],[closes_alior]]/B272)</f>
        <v>3.8300126470015718E-2</v>
      </c>
      <c r="E273">
        <v>199.09</v>
      </c>
      <c r="F273" s="2">
        <f>(int_data[[#This Row],[closes_ing]]-E272)/E272</f>
        <v>4.1592549963377724E-2</v>
      </c>
      <c r="G273" s="2">
        <f>LN(int_data[[#This Row],[closes_ing]]/E272)</f>
        <v>4.0750839953671687E-2</v>
      </c>
    </row>
    <row r="274" spans="1:7" x14ac:dyDescent="0.2">
      <c r="A274" s="1">
        <v>45199</v>
      </c>
      <c r="B274">
        <v>62.1</v>
      </c>
      <c r="C274" s="2">
        <f>(int_data[[#This Row],[closes_alior]]-B273)/B273</f>
        <v>-7.0354972817396506E-3</v>
      </c>
      <c r="D274" s="2">
        <f>LN(int_data[[#This Row],[closes_alior]]/B273)</f>
        <v>-7.0603630902621476E-3</v>
      </c>
      <c r="E274">
        <v>192.81</v>
      </c>
      <c r="F274" s="2">
        <f>(int_data[[#This Row],[closes_ing]]-E273)/E273</f>
        <v>-3.1543523029785532E-2</v>
      </c>
      <c r="G274" s="2">
        <f>LN(int_data[[#This Row],[closes_ing]]/E273)</f>
        <v>-3.2051735740400676E-2</v>
      </c>
    </row>
    <row r="275" spans="1:7" x14ac:dyDescent="0.2">
      <c r="A275" s="1">
        <v>45200</v>
      </c>
      <c r="B275">
        <v>62.265000000000001</v>
      </c>
      <c r="C275" s="2">
        <f>(int_data[[#This Row],[closes_alior]]-B274)/B274</f>
        <v>2.6570048309178607E-3</v>
      </c>
      <c r="D275" s="2">
        <f>LN(int_data[[#This Row],[closes_alior]]/B274)</f>
        <v>2.6534812336786139E-3</v>
      </c>
      <c r="E275">
        <v>195.95</v>
      </c>
      <c r="F275" s="2">
        <f>(int_data[[#This Row],[closes_ing]]-E274)/E274</f>
        <v>1.6285462372283524E-2</v>
      </c>
      <c r="G275" s="2">
        <f>LN(int_data[[#This Row],[closes_ing]]/E274)</f>
        <v>1.6154276594335819E-2</v>
      </c>
    </row>
    <row r="276" spans="1:7" x14ac:dyDescent="0.2">
      <c r="A276" s="1">
        <v>45201</v>
      </c>
      <c r="B276">
        <v>62.43</v>
      </c>
      <c r="C276" s="2">
        <f>(int_data[[#This Row],[closes_alior]]-B275)/B275</f>
        <v>2.649963864129112E-3</v>
      </c>
      <c r="D276" s="2">
        <f>LN(int_data[[#This Row],[closes_alior]]/B275)</f>
        <v>2.6464589005409304E-3</v>
      </c>
      <c r="E276">
        <v>199.09</v>
      </c>
      <c r="F276" s="2">
        <f>(int_data[[#This Row],[closes_ing]]-E275)/E275</f>
        <v>1.6024496044909492E-2</v>
      </c>
      <c r="G276" s="2">
        <f>LN(int_data[[#This Row],[closes_ing]]/E275)</f>
        <v>1.5897459146064656E-2</v>
      </c>
    </row>
    <row r="277" spans="1:7" x14ac:dyDescent="0.2">
      <c r="A277" s="1">
        <v>45202</v>
      </c>
      <c r="B277">
        <v>63.18</v>
      </c>
      <c r="C277" s="2">
        <f>(int_data[[#This Row],[closes_alior]]-B276)/B276</f>
        <v>1.2013455069678039E-2</v>
      </c>
      <c r="D277" s="2">
        <f>LN(int_data[[#This Row],[closes_alior]]/B276)</f>
        <v>1.194186630028634E-2</v>
      </c>
      <c r="E277">
        <v>199.92</v>
      </c>
      <c r="F277" s="2">
        <f>(int_data[[#This Row],[closes_ing]]-E276)/E276</f>
        <v>4.1689688080766693E-3</v>
      </c>
      <c r="G277" s="2">
        <f>LN(int_data[[#This Row],[closes_ing]]/E276)</f>
        <v>4.160302734991665E-3</v>
      </c>
    </row>
    <row r="278" spans="1:7" x14ac:dyDescent="0.2">
      <c r="A278" s="1">
        <v>45203</v>
      </c>
      <c r="B278">
        <v>64.239999999999995</v>
      </c>
      <c r="C278" s="2">
        <f>(int_data[[#This Row],[closes_alior]]-B277)/B277</f>
        <v>1.6777461221905592E-2</v>
      </c>
      <c r="D278" s="2">
        <f>LN(int_data[[#This Row],[closes_alior]]/B277)</f>
        <v>1.6638274264567033E-2</v>
      </c>
      <c r="E278">
        <v>201.595</v>
      </c>
      <c r="F278" s="2">
        <f>(int_data[[#This Row],[closes_ing]]-E277)/E277</f>
        <v>8.378351340536272E-3</v>
      </c>
      <c r="G278" s="2">
        <f>LN(int_data[[#This Row],[closes_ing]]/E277)</f>
        <v>8.3434477756505719E-3</v>
      </c>
    </row>
    <row r="279" spans="1:7" x14ac:dyDescent="0.2">
      <c r="A279" s="1">
        <v>45204</v>
      </c>
      <c r="B279">
        <v>65.3</v>
      </c>
      <c r="C279" s="2">
        <f>(int_data[[#This Row],[closes_alior]]-B278)/B278</f>
        <v>1.6500622665006265E-2</v>
      </c>
      <c r="D279" s="2">
        <f>LN(int_data[[#This Row],[closes_alior]]/B278)</f>
        <v>1.6365966643879098E-2</v>
      </c>
      <c r="E279">
        <v>203.27</v>
      </c>
      <c r="F279" s="2">
        <f>(int_data[[#This Row],[closes_ing]]-E278)/E278</f>
        <v>8.3087378159181092E-3</v>
      </c>
      <c r="G279" s="2">
        <f>LN(int_data[[#This Row],[closes_ing]]/E278)</f>
        <v>8.2744102685231146E-3</v>
      </c>
    </row>
    <row r="280" spans="1:7" x14ac:dyDescent="0.2">
      <c r="A280" s="1">
        <v>45205</v>
      </c>
      <c r="B280">
        <v>63.89</v>
      </c>
      <c r="C280" s="2">
        <f>(int_data[[#This Row],[closes_alior]]-B279)/B279</f>
        <v>-2.1592649310872843E-2</v>
      </c>
      <c r="D280" s="2">
        <f>LN(int_data[[#This Row],[closes_alior]]/B279)</f>
        <v>-2.1829181668133368E-2</v>
      </c>
      <c r="E280">
        <v>202.01</v>
      </c>
      <c r="F280" s="2">
        <f>(int_data[[#This Row],[closes_ing]]-E279)/E279</f>
        <v>-6.1986520391598332E-3</v>
      </c>
      <c r="G280" s="2">
        <f>LN(int_data[[#This Row],[closes_ing]]/E279)</f>
        <v>-6.2179434445004469E-3</v>
      </c>
    </row>
    <row r="281" spans="1:7" x14ac:dyDescent="0.2">
      <c r="A281" s="1">
        <v>45206</v>
      </c>
      <c r="B281">
        <v>64.48</v>
      </c>
      <c r="C281" s="2">
        <f>(int_data[[#This Row],[closes_alior]]-B280)/B280</f>
        <v>9.2346220065738522E-3</v>
      </c>
      <c r="D281" s="2">
        <f>LN(int_data[[#This Row],[closes_alior]]/B280)</f>
        <v>9.1922435841209175E-3</v>
      </c>
      <c r="E281">
        <v>204.94</v>
      </c>
      <c r="F281" s="2">
        <f>(int_data[[#This Row],[closes_ing]]-E280)/E280</f>
        <v>1.4504232463739454E-2</v>
      </c>
      <c r="G281" s="2">
        <f>LN(int_data[[#This Row],[closes_ing]]/E280)</f>
        <v>1.4400052245201687E-2</v>
      </c>
    </row>
    <row r="282" spans="1:7" x14ac:dyDescent="0.2">
      <c r="A282" s="1">
        <v>45207</v>
      </c>
      <c r="B282">
        <v>64.66</v>
      </c>
      <c r="C282" s="2">
        <f>(int_data[[#This Row],[closes_alior]]-B281)/B281</f>
        <v>2.7915632754341286E-3</v>
      </c>
      <c r="D282" s="2">
        <f>LN(int_data[[#This Row],[closes_alior]]/B281)</f>
        <v>2.7876740989139915E-3</v>
      </c>
      <c r="E282">
        <v>204.94</v>
      </c>
      <c r="F282" s="2">
        <f>(int_data[[#This Row],[closes_ing]]-E281)/E281</f>
        <v>0</v>
      </c>
      <c r="G282" s="2">
        <f>LN(int_data[[#This Row],[closes_ing]]/E281)</f>
        <v>0</v>
      </c>
    </row>
    <row r="283" spans="1:7" x14ac:dyDescent="0.2">
      <c r="A283" s="1">
        <v>45208</v>
      </c>
      <c r="B283">
        <v>64.64</v>
      </c>
      <c r="C283" s="2">
        <f>(int_data[[#This Row],[closes_alior]]-B282)/B282</f>
        <v>-3.0931023816882188E-4</v>
      </c>
      <c r="D283" s="2">
        <f>LN(int_data[[#This Row],[closes_alior]]/B282)</f>
        <v>-3.093580844470266E-4</v>
      </c>
      <c r="E283">
        <v>204.94</v>
      </c>
      <c r="F283" s="2">
        <f>(int_data[[#This Row],[closes_ing]]-E282)/E282</f>
        <v>0</v>
      </c>
      <c r="G283" s="2">
        <f>LN(int_data[[#This Row],[closes_ing]]/E282)</f>
        <v>0</v>
      </c>
    </row>
    <row r="284" spans="1:7" x14ac:dyDescent="0.2">
      <c r="A284" s="1">
        <v>45209</v>
      </c>
      <c r="B284">
        <v>63.68</v>
      </c>
      <c r="C284" s="2">
        <f>(int_data[[#This Row],[closes_alior]]-B283)/B283</f>
        <v>-1.4851485148514865E-2</v>
      </c>
      <c r="D284" s="2">
        <f>LN(int_data[[#This Row],[closes_alior]]/B283)</f>
        <v>-1.4962872676712377E-2</v>
      </c>
      <c r="E284">
        <v>204.1</v>
      </c>
      <c r="F284" s="2">
        <f>(int_data[[#This Row],[closes_ing]]-E283)/E283</f>
        <v>-4.0987606128623181E-3</v>
      </c>
      <c r="G284" s="2">
        <f>LN(int_data[[#This Row],[closes_ing]]/E283)</f>
        <v>-4.1071835557727364E-3</v>
      </c>
    </row>
    <row r="285" spans="1:7" x14ac:dyDescent="0.2">
      <c r="A285" s="1">
        <v>45210</v>
      </c>
      <c r="B285">
        <v>66.290000000000006</v>
      </c>
      <c r="C285" s="2">
        <f>(int_data[[#This Row],[closes_alior]]-B284)/B284</f>
        <v>4.0986180904522718E-2</v>
      </c>
      <c r="D285" s="2">
        <f>LN(int_data[[#This Row],[closes_alior]]/B284)</f>
        <v>4.0168514717172657E-2</v>
      </c>
      <c r="E285">
        <v>209.12</v>
      </c>
      <c r="F285" s="2">
        <f>(int_data[[#This Row],[closes_ing]]-E284)/E284</f>
        <v>2.4595786379225919E-2</v>
      </c>
      <c r="G285" s="2">
        <f>LN(int_data[[#This Row],[closes_ing]]/E284)</f>
        <v>2.4298180060112719E-2</v>
      </c>
    </row>
    <row r="286" spans="1:7" x14ac:dyDescent="0.2">
      <c r="A286" s="1">
        <v>45211</v>
      </c>
      <c r="B286">
        <v>66.784999999999997</v>
      </c>
      <c r="C286" s="2">
        <f>(int_data[[#This Row],[closes_alior]]-B285)/B285</f>
        <v>7.4671896213605411E-3</v>
      </c>
      <c r="D286" s="2">
        <f>LN(int_data[[#This Row],[closes_alior]]/B285)</f>
        <v>7.4394481757683231E-3</v>
      </c>
      <c r="E286">
        <v>206.19499999999999</v>
      </c>
      <c r="F286" s="2">
        <f>(int_data[[#This Row],[closes_ing]]-E285)/E285</f>
        <v>-1.3987184391736856E-2</v>
      </c>
      <c r="G286" s="2">
        <f>LN(int_data[[#This Row],[closes_ing]]/E285)</f>
        <v>-1.4085926889665975E-2</v>
      </c>
    </row>
    <row r="287" spans="1:7" x14ac:dyDescent="0.2">
      <c r="A287" s="1">
        <v>45212</v>
      </c>
      <c r="B287">
        <v>67.28</v>
      </c>
      <c r="C287" s="2">
        <f>(int_data[[#This Row],[closes_alior]]-B286)/B286</f>
        <v>7.4118439769409981E-3</v>
      </c>
      <c r="D287" s="2">
        <f>LN(int_data[[#This Row],[closes_alior]]/B286)</f>
        <v>7.384511235624054E-3</v>
      </c>
      <c r="E287">
        <v>203.27</v>
      </c>
      <c r="F287" s="2">
        <f>(int_data[[#This Row],[closes_ing]]-E286)/E286</f>
        <v>-1.4185601008753768E-2</v>
      </c>
      <c r="G287" s="2">
        <f>LN(int_data[[#This Row],[closes_ing]]/E286)</f>
        <v>-1.4287178415375249E-2</v>
      </c>
    </row>
    <row r="288" spans="1:7" x14ac:dyDescent="0.2">
      <c r="A288" s="1">
        <v>45213</v>
      </c>
      <c r="B288">
        <v>67.09</v>
      </c>
      <c r="C288" s="2">
        <f>(int_data[[#This Row],[closes_alior]]-B287)/B287</f>
        <v>-2.8240190249702395E-3</v>
      </c>
      <c r="D288" s="2">
        <f>LN(int_data[[#This Row],[closes_alior]]/B287)</f>
        <v>-2.8280140898958627E-3</v>
      </c>
      <c r="E288">
        <v>202.43</v>
      </c>
      <c r="F288" s="2">
        <f>(int_data[[#This Row],[closes_ing]]-E287)/E287</f>
        <v>-4.1324346927731756E-3</v>
      </c>
      <c r="G288" s="2">
        <f>LN(int_data[[#This Row],[closes_ing]]/E287)</f>
        <v>-4.1409967973845959E-3</v>
      </c>
    </row>
    <row r="289" spans="1:7" x14ac:dyDescent="0.2">
      <c r="A289" s="1">
        <v>45214</v>
      </c>
      <c r="B289">
        <v>67.88</v>
      </c>
      <c r="C289" s="2">
        <f>(int_data[[#This Row],[closes_alior]]-B288)/B288</f>
        <v>1.1775227306602951E-2</v>
      </c>
      <c r="D289" s="2">
        <f>LN(int_data[[#This Row],[closes_alior]]/B288)</f>
        <v>1.170643879122878E-2</v>
      </c>
      <c r="E289">
        <v>205.36</v>
      </c>
      <c r="F289" s="2">
        <f>(int_data[[#This Row],[closes_ing]]-E288)/E288</f>
        <v>1.4474139208615356E-2</v>
      </c>
      <c r="G289" s="2">
        <f>LN(int_data[[#This Row],[closes_ing]]/E288)</f>
        <v>1.4370388789399105E-2</v>
      </c>
    </row>
    <row r="290" spans="1:7" x14ac:dyDescent="0.2">
      <c r="A290" s="1">
        <v>45215</v>
      </c>
      <c r="B290">
        <v>68.67</v>
      </c>
      <c r="C290" s="2">
        <f>(int_data[[#This Row],[closes_alior]]-B289)/B289</f>
        <v>1.1638185032410228E-2</v>
      </c>
      <c r="D290" s="2">
        <f>LN(int_data[[#This Row],[closes_alior]]/B289)</f>
        <v>1.1570982266559636E-2</v>
      </c>
      <c r="E290">
        <v>208.29</v>
      </c>
      <c r="F290" s="2">
        <f>(int_data[[#This Row],[closes_ing]]-E289)/E289</f>
        <v>1.4267627580833551E-2</v>
      </c>
      <c r="G290" s="2">
        <f>LN(int_data[[#This Row],[closes_ing]]/E289)</f>
        <v>1.416680287040663E-2</v>
      </c>
    </row>
    <row r="291" spans="1:7" x14ac:dyDescent="0.2">
      <c r="A291" s="1">
        <v>45216</v>
      </c>
      <c r="B291">
        <v>67.37</v>
      </c>
      <c r="C291" s="2">
        <f>(int_data[[#This Row],[closes_alior]]-B290)/B290</f>
        <v>-1.8931119848551E-2</v>
      </c>
      <c r="D291" s="2">
        <f>LN(int_data[[#This Row],[closes_alior]]/B290)</f>
        <v>-1.9112607660016503E-2</v>
      </c>
      <c r="E291">
        <v>208.29</v>
      </c>
      <c r="F291" s="2">
        <f>(int_data[[#This Row],[closes_ing]]-E290)/E290</f>
        <v>0</v>
      </c>
      <c r="G291" s="2">
        <f>LN(int_data[[#This Row],[closes_ing]]/E290)</f>
        <v>0</v>
      </c>
    </row>
    <row r="292" spans="1:7" x14ac:dyDescent="0.2">
      <c r="A292" s="1">
        <v>45217</v>
      </c>
      <c r="B292">
        <v>66.760000000000005</v>
      </c>
      <c r="C292" s="2">
        <f>(int_data[[#This Row],[closes_alior]]-B291)/B291</f>
        <v>-9.0544752857354815E-3</v>
      </c>
      <c r="D292" s="2">
        <f>LN(int_data[[#This Row],[closes_alior]]/B291)</f>
        <v>-9.0957161789341021E-3</v>
      </c>
      <c r="E292">
        <v>213.72</v>
      </c>
      <c r="F292" s="2">
        <f>(int_data[[#This Row],[closes_ing]]-E291)/E291</f>
        <v>2.6069422439867526E-2</v>
      </c>
      <c r="G292" s="2">
        <f>LN(int_data[[#This Row],[closes_ing]]/E291)</f>
        <v>2.5735407656278832E-2</v>
      </c>
    </row>
    <row r="293" spans="1:7" x14ac:dyDescent="0.2">
      <c r="A293" s="1">
        <v>45218</v>
      </c>
      <c r="B293">
        <v>66.849999999999994</v>
      </c>
      <c r="C293" s="2">
        <f>(int_data[[#This Row],[closes_alior]]-B292)/B292</f>
        <v>1.348112642300617E-3</v>
      </c>
      <c r="D293" s="2">
        <f>LN(int_data[[#This Row],[closes_alior]]/B292)</f>
        <v>1.3472047543178036E-3</v>
      </c>
      <c r="E293">
        <v>220.83</v>
      </c>
      <c r="F293" s="2">
        <f>(int_data[[#This Row],[closes_ing]]-E292)/E292</f>
        <v>3.3267827063447566E-2</v>
      </c>
      <c r="G293" s="2">
        <f>LN(int_data[[#This Row],[closes_ing]]/E292)</f>
        <v>3.2726427649153816E-2</v>
      </c>
    </row>
    <row r="294" spans="1:7" x14ac:dyDescent="0.2">
      <c r="A294" s="1">
        <v>45219</v>
      </c>
      <c r="B294">
        <v>66.59</v>
      </c>
      <c r="C294" s="2">
        <f>(int_data[[#This Row],[closes_alior]]-B293)/B293</f>
        <v>-3.8893044128644866E-3</v>
      </c>
      <c r="D294" s="2">
        <f>LN(int_data[[#This Row],[closes_alior]]/B293)</f>
        <v>-3.8968874254210659E-3</v>
      </c>
      <c r="E294">
        <v>220</v>
      </c>
      <c r="F294" s="2">
        <f>(int_data[[#This Row],[closes_ing]]-E293)/E293</f>
        <v>-3.7585472988272087E-3</v>
      </c>
      <c r="G294" s="2">
        <f>LN(int_data[[#This Row],[closes_ing]]/E293)</f>
        <v>-3.7656283863627469E-3</v>
      </c>
    </row>
    <row r="295" spans="1:7" x14ac:dyDescent="0.2">
      <c r="A295" s="1">
        <v>45220</v>
      </c>
      <c r="B295">
        <v>67.11</v>
      </c>
      <c r="C295" s="2">
        <f>(int_data[[#This Row],[closes_alior]]-B294)/B294</f>
        <v>7.8089803273764229E-3</v>
      </c>
      <c r="D295" s="2">
        <f>LN(int_data[[#This Row],[closes_alior]]/B294)</f>
        <v>7.7786480476168748E-3</v>
      </c>
      <c r="E295">
        <v>221.67</v>
      </c>
      <c r="F295" s="2">
        <f>(int_data[[#This Row],[closes_ing]]-E294)/E294</f>
        <v>7.5909090909090345E-3</v>
      </c>
      <c r="G295" s="2">
        <f>LN(int_data[[#This Row],[closes_ing]]/E294)</f>
        <v>7.5622431163042819E-3</v>
      </c>
    </row>
    <row r="296" spans="1:7" x14ac:dyDescent="0.2">
      <c r="A296" s="1">
        <v>45221</v>
      </c>
      <c r="B296">
        <v>66.62</v>
      </c>
      <c r="C296" s="2">
        <f>(int_data[[#This Row],[closes_alior]]-B295)/B295</f>
        <v>-7.3014453881686025E-3</v>
      </c>
      <c r="D296" s="2">
        <f>LN(int_data[[#This Row],[closes_alior]]/B295)</f>
        <v>-7.3282314046142286E-3</v>
      </c>
      <c r="E296">
        <v>227.94</v>
      </c>
      <c r="F296" s="2">
        <f>(int_data[[#This Row],[closes_ing]]-E295)/E295</f>
        <v>2.828528894302346E-2</v>
      </c>
      <c r="G296" s="2">
        <f>LN(int_data[[#This Row],[closes_ing]]/E295)</f>
        <v>2.7892646958923264E-2</v>
      </c>
    </row>
    <row r="297" spans="1:7" x14ac:dyDescent="0.2">
      <c r="A297" s="1">
        <v>45222</v>
      </c>
      <c r="B297">
        <v>66.245000000000005</v>
      </c>
      <c r="C297" s="2">
        <f>(int_data[[#This Row],[closes_alior]]-B296)/B296</f>
        <v>-5.6289402581807257E-3</v>
      </c>
      <c r="D297" s="2">
        <f>LN(int_data[[#This Row],[closes_alior]]/B296)</f>
        <v>-5.6448424454471225E-3</v>
      </c>
      <c r="E297">
        <v>224.18</v>
      </c>
      <c r="F297" s="2">
        <f>(int_data[[#This Row],[closes_ing]]-E296)/E296</f>
        <v>-1.6495569009388394E-2</v>
      </c>
      <c r="G297" s="2">
        <f>LN(int_data[[#This Row],[closes_ing]]/E296)</f>
        <v>-1.6633135834639892E-2</v>
      </c>
    </row>
    <row r="298" spans="1:7" x14ac:dyDescent="0.2">
      <c r="A298" s="1">
        <v>45223</v>
      </c>
      <c r="B298">
        <v>65.87</v>
      </c>
      <c r="C298" s="2">
        <f>(int_data[[#This Row],[closes_alior]]-B297)/B297</f>
        <v>-5.6608045890255863E-3</v>
      </c>
      <c r="D298" s="2">
        <f>LN(int_data[[#This Row],[closes_alior]]/B297)</f>
        <v>-5.6768876674849382E-3</v>
      </c>
      <c r="E298">
        <v>220.42</v>
      </c>
      <c r="F298" s="2">
        <f>(int_data[[#This Row],[closes_ing]]-E297)/E297</f>
        <v>-1.6772236595592911E-2</v>
      </c>
      <c r="G298" s="2">
        <f>LN(int_data[[#This Row],[closes_ing]]/E297)</f>
        <v>-1.6914483329553493E-2</v>
      </c>
    </row>
    <row r="299" spans="1:7" x14ac:dyDescent="0.2">
      <c r="A299" s="1">
        <v>45224</v>
      </c>
      <c r="B299">
        <v>65.98</v>
      </c>
      <c r="C299" s="2">
        <f>(int_data[[#This Row],[closes_alior]]-B298)/B298</f>
        <v>1.6699559738879524E-3</v>
      </c>
      <c r="D299" s="2">
        <f>LN(int_data[[#This Row],[closes_alior]]/B298)</f>
        <v>1.6685631478338026E-3</v>
      </c>
      <c r="E299">
        <v>222.09</v>
      </c>
      <c r="F299" s="2">
        <f>(int_data[[#This Row],[closes_ing]]-E298)/E298</f>
        <v>7.5764449686961978E-3</v>
      </c>
      <c r="G299" s="2">
        <f>LN(int_data[[#This Row],[closes_ing]]/E298)</f>
        <v>7.5478878597207994E-3</v>
      </c>
    </row>
    <row r="300" spans="1:7" x14ac:dyDescent="0.2">
      <c r="A300" s="1">
        <v>45225</v>
      </c>
      <c r="B300">
        <v>65.724999999999994</v>
      </c>
      <c r="C300" s="2">
        <f>(int_data[[#This Row],[closes_alior]]-B299)/B299</f>
        <v>-3.8648075174296703E-3</v>
      </c>
      <c r="D300" s="2">
        <f>LN(int_data[[#This Row],[closes_alior]]/B299)</f>
        <v>-3.8722951844906133E-3</v>
      </c>
      <c r="E300">
        <v>221.67</v>
      </c>
      <c r="F300" s="2">
        <f>(int_data[[#This Row],[closes_ing]]-E299)/E299</f>
        <v>-1.8911252195056775E-3</v>
      </c>
      <c r="G300" s="2">
        <f>LN(int_data[[#This Row],[closes_ing]]/E299)</f>
        <v>-1.8929156544507679E-3</v>
      </c>
    </row>
    <row r="301" spans="1:7" x14ac:dyDescent="0.2">
      <c r="A301" s="1">
        <v>45226</v>
      </c>
      <c r="B301">
        <v>65.47</v>
      </c>
      <c r="C301" s="2">
        <f>(int_data[[#This Row],[closes_alior]]-B300)/B300</f>
        <v>-3.8798022061619698E-3</v>
      </c>
      <c r="D301" s="2">
        <f>LN(int_data[[#This Row],[closes_alior]]/B300)</f>
        <v>-3.8873481629448886E-3</v>
      </c>
      <c r="E301">
        <v>221.25</v>
      </c>
      <c r="F301" s="2">
        <f>(int_data[[#This Row],[closes_ing]]-E300)/E300</f>
        <v>-1.8947083502503159E-3</v>
      </c>
      <c r="G301" s="2">
        <f>LN(int_data[[#This Row],[closes_ing]]/E300)</f>
        <v>-1.8965055806269536E-3</v>
      </c>
    </row>
    <row r="302" spans="1:7" x14ac:dyDescent="0.2">
      <c r="A302" s="1">
        <v>45227</v>
      </c>
      <c r="B302">
        <v>65.27</v>
      </c>
      <c r="C302" s="2">
        <f>(int_data[[#This Row],[closes_alior]]-B301)/B301</f>
        <v>-3.0548342752406117E-3</v>
      </c>
      <c r="D302" s="2">
        <f>LN(int_data[[#This Row],[closes_alior]]/B301)</f>
        <v>-3.0595098058739368E-3</v>
      </c>
      <c r="E302">
        <v>216.23</v>
      </c>
      <c r="F302" s="2">
        <f>(int_data[[#This Row],[closes_ing]]-E301)/E301</f>
        <v>-2.2689265536723211E-2</v>
      </c>
      <c r="G302" s="2">
        <f>LN(int_data[[#This Row],[closes_ing]]/E301)</f>
        <v>-2.2950627902235329E-2</v>
      </c>
    </row>
    <row r="303" spans="1:7" x14ac:dyDescent="0.2">
      <c r="A303" s="1">
        <v>45228</v>
      </c>
      <c r="B303">
        <v>65.459999999999994</v>
      </c>
      <c r="C303" s="2">
        <f>(int_data[[#This Row],[closes_alior]]-B302)/B302</f>
        <v>2.9109851386547839E-3</v>
      </c>
      <c r="D303" s="2">
        <f>LN(int_data[[#This Row],[closes_alior]]/B302)</f>
        <v>2.9067564259084213E-3</v>
      </c>
      <c r="E303">
        <v>220.83</v>
      </c>
      <c r="F303" s="2">
        <f>(int_data[[#This Row],[closes_ing]]-E302)/E302</f>
        <v>2.1273643805207524E-2</v>
      </c>
      <c r="G303" s="2">
        <f>LN(int_data[[#This Row],[closes_ing]]/E302)</f>
        <v>2.1050518752920654E-2</v>
      </c>
    </row>
    <row r="304" spans="1:7" x14ac:dyDescent="0.2">
      <c r="A304" s="1">
        <v>45229</v>
      </c>
      <c r="B304">
        <v>67.98</v>
      </c>
      <c r="C304" s="2">
        <f>(int_data[[#This Row],[closes_alior]]-B303)/B303</f>
        <v>3.849679193400566E-2</v>
      </c>
      <c r="D304" s="2">
        <f>LN(int_data[[#This Row],[closes_alior]]/B303)</f>
        <v>3.7774275194935564E-2</v>
      </c>
      <c r="E304">
        <v>225.02</v>
      </c>
      <c r="F304" s="2">
        <f>(int_data[[#This Row],[closes_ing]]-E303)/E303</f>
        <v>1.897387130371778E-2</v>
      </c>
      <c r="G304" s="2">
        <f>LN(int_data[[#This Row],[closes_ing]]/E303)</f>
        <v>1.8796112404201541E-2</v>
      </c>
    </row>
    <row r="305" spans="1:7" x14ac:dyDescent="0.2">
      <c r="A305" s="1">
        <v>45230</v>
      </c>
      <c r="B305">
        <v>66.67</v>
      </c>
      <c r="C305" s="2">
        <f>(int_data[[#This Row],[closes_alior]]-B304)/B304</f>
        <v>-1.9270373639305709E-2</v>
      </c>
      <c r="D305" s="2">
        <f>LN(int_data[[#This Row],[closes_alior]]/B304)</f>
        <v>-1.9458467638001346E-2</v>
      </c>
      <c r="E305">
        <v>221.67</v>
      </c>
      <c r="F305" s="2">
        <f>(int_data[[#This Row],[closes_ing]]-E304)/E304</f>
        <v>-1.4887565549729014E-2</v>
      </c>
      <c r="G305" s="2">
        <f>LN(int_data[[#This Row],[closes_ing]]/E304)</f>
        <v>-1.4999497674260025E-2</v>
      </c>
    </row>
    <row r="306" spans="1:7" x14ac:dyDescent="0.2">
      <c r="A306" s="1">
        <v>45231</v>
      </c>
      <c r="B306">
        <v>66.33</v>
      </c>
      <c r="C306" s="2">
        <f>(int_data[[#This Row],[closes_alior]]-B305)/B305</f>
        <v>-5.0997450127494137E-3</v>
      </c>
      <c r="D306" s="2">
        <f>LN(int_data[[#This Row],[closes_alior]]/B305)</f>
        <v>-5.1127930925041276E-3</v>
      </c>
      <c r="E306">
        <v>218.74</v>
      </c>
      <c r="F306" s="2">
        <f>(int_data[[#This Row],[closes_ing]]-E305)/E305</f>
        <v>-1.3217846348175119E-2</v>
      </c>
      <c r="G306" s="2">
        <f>LN(int_data[[#This Row],[closes_ing]]/E305)</f>
        <v>-1.3305979561586124E-2</v>
      </c>
    </row>
    <row r="307" spans="1:7" x14ac:dyDescent="0.2">
      <c r="A307" s="1">
        <v>45232</v>
      </c>
      <c r="B307">
        <v>66.930000000000007</v>
      </c>
      <c r="C307" s="2">
        <f>(int_data[[#This Row],[closes_alior]]-B306)/B306</f>
        <v>9.0456806874718611E-3</v>
      </c>
      <c r="D307" s="2">
        <f>LN(int_data[[#This Row],[closes_alior]]/B306)</f>
        <v>9.0050135750863979E-3</v>
      </c>
      <c r="E307">
        <v>218.33</v>
      </c>
      <c r="F307" s="2">
        <f>(int_data[[#This Row],[closes_ing]]-E306)/E306</f>
        <v>-1.8743713998354053E-3</v>
      </c>
      <c r="G307" s="2">
        <f>LN(int_data[[#This Row],[closes_ing]]/E306)</f>
        <v>-1.8761302320544741E-3</v>
      </c>
    </row>
    <row r="308" spans="1:7" x14ac:dyDescent="0.2">
      <c r="A308" s="1">
        <v>45233</v>
      </c>
      <c r="B308">
        <v>67.174999999999997</v>
      </c>
      <c r="C308" s="2">
        <f>(int_data[[#This Row],[closes_alior]]-B307)/B307</f>
        <v>3.6605408635886792E-3</v>
      </c>
      <c r="D308" s="2">
        <f>LN(int_data[[#This Row],[closes_alior]]/B307)</f>
        <v>3.6538573890038425E-3</v>
      </c>
      <c r="E308">
        <v>219.16499999999999</v>
      </c>
      <c r="F308" s="2">
        <f>(int_data[[#This Row],[closes_ing]]-E307)/E307</f>
        <v>3.8244858700131885E-3</v>
      </c>
      <c r="G308" s="2">
        <f>LN(int_data[[#This Row],[closes_ing]]/E307)</f>
        <v>3.8171911171321305E-3</v>
      </c>
    </row>
    <row r="309" spans="1:7" x14ac:dyDescent="0.2">
      <c r="A309" s="1">
        <v>45234</v>
      </c>
      <c r="B309">
        <v>67.42</v>
      </c>
      <c r="C309" s="2">
        <f>(int_data[[#This Row],[closes_alior]]-B308)/B308</f>
        <v>3.6471901749163312E-3</v>
      </c>
      <c r="D309" s="2">
        <f>LN(int_data[[#This Row],[closes_alior]]/B308)</f>
        <v>3.6405553043599177E-3</v>
      </c>
      <c r="E309">
        <v>220</v>
      </c>
      <c r="F309" s="2">
        <f>(int_data[[#This Row],[closes_ing]]-E308)/E308</f>
        <v>3.8099149042958866E-3</v>
      </c>
      <c r="G309" s="2">
        <f>LN(int_data[[#This Row],[closes_ing]]/E308)</f>
        <v>3.802675560204069E-3</v>
      </c>
    </row>
    <row r="310" spans="1:7" x14ac:dyDescent="0.2">
      <c r="A310" s="1">
        <v>45235</v>
      </c>
      <c r="B310">
        <v>66.760000000000005</v>
      </c>
      <c r="C310" s="2">
        <f>(int_data[[#This Row],[closes_alior]]-B309)/B309</f>
        <v>-9.7893800059329072E-3</v>
      </c>
      <c r="D310" s="2">
        <f>LN(int_data[[#This Row],[closes_alior]]/B309)</f>
        <v>-9.8376110122802615E-3</v>
      </c>
      <c r="E310">
        <v>215.82</v>
      </c>
      <c r="F310" s="2">
        <f>(int_data[[#This Row],[closes_ing]]-E309)/E309</f>
        <v>-1.9000000000000031E-2</v>
      </c>
      <c r="G310" s="2">
        <f>LN(int_data[[#This Row],[closes_ing]]/E309)</f>
        <v>-1.9182819416773987E-2</v>
      </c>
    </row>
    <row r="311" spans="1:7" x14ac:dyDescent="0.2">
      <c r="A311" s="1">
        <v>45236</v>
      </c>
      <c r="B311">
        <v>66.56</v>
      </c>
      <c r="C311" s="2">
        <f>(int_data[[#This Row],[closes_alior]]-B310)/B310</f>
        <v>-2.9958058717795511E-3</v>
      </c>
      <c r="D311" s="2">
        <f>LN(int_data[[#This Row],[closes_alior]]/B310)</f>
        <v>-3.0003022806811656E-3</v>
      </c>
      <c r="E311">
        <v>214.98</v>
      </c>
      <c r="F311" s="2">
        <f>(int_data[[#This Row],[closes_ing]]-E310)/E310</f>
        <v>-3.892132332499321E-3</v>
      </c>
      <c r="G311" s="2">
        <f>LN(int_data[[#This Row],[closes_ing]]/E310)</f>
        <v>-3.8997263906701174E-3</v>
      </c>
    </row>
    <row r="312" spans="1:7" x14ac:dyDescent="0.2">
      <c r="A312" s="1">
        <v>45237</v>
      </c>
      <c r="B312">
        <v>66.36</v>
      </c>
      <c r="C312" s="2">
        <f>(int_data[[#This Row],[closes_alior]]-B311)/B311</f>
        <v>-3.004807692307735E-3</v>
      </c>
      <c r="D312" s="2">
        <f>LN(int_data[[#This Row],[closes_alior]]/B311)</f>
        <v>-3.0093311907094284E-3</v>
      </c>
      <c r="E312">
        <v>214.14</v>
      </c>
      <c r="F312" s="2">
        <f>(int_data[[#This Row],[closes_ing]]-E311)/E311</f>
        <v>-3.9073402176946857E-3</v>
      </c>
      <c r="G312" s="2">
        <f>LN(int_data[[#This Row],[closes_ing]]/E311)</f>
        <v>-3.9149938147934726E-3</v>
      </c>
    </row>
    <row r="313" spans="1:7" x14ac:dyDescent="0.2">
      <c r="A313" s="1">
        <v>45238</v>
      </c>
      <c r="B313">
        <v>63.46</v>
      </c>
      <c r="C313" s="2">
        <f>(int_data[[#This Row],[closes_alior]]-B312)/B312</f>
        <v>-4.3701024713682923E-2</v>
      </c>
      <c r="D313" s="2">
        <f>LN(int_data[[#This Row],[closes_alior]]/B312)</f>
        <v>-4.4684679167194152E-2</v>
      </c>
      <c r="E313">
        <v>211.63</v>
      </c>
      <c r="F313" s="2">
        <f>(int_data[[#This Row],[closes_ing]]-E312)/E312</f>
        <v>-1.1721303819930844E-2</v>
      </c>
      <c r="G313" s="2">
        <f>LN(int_data[[#This Row],[closes_ing]]/E312)</f>
        <v>-1.1790539857761673E-2</v>
      </c>
    </row>
    <row r="314" spans="1:7" x14ac:dyDescent="0.2">
      <c r="A314" s="1">
        <v>45239</v>
      </c>
      <c r="B314">
        <v>64.92</v>
      </c>
      <c r="C314" s="2">
        <f>(int_data[[#This Row],[closes_alior]]-B313)/B313</f>
        <v>2.3006618342262856E-2</v>
      </c>
      <c r="D314" s="2">
        <f>LN(int_data[[#This Row],[closes_alior]]/B313)</f>
        <v>2.2745956491340921E-2</v>
      </c>
      <c r="E314">
        <v>215.4</v>
      </c>
      <c r="F314" s="2">
        <f>(int_data[[#This Row],[closes_ing]]-E313)/E313</f>
        <v>1.7814109530784911E-2</v>
      </c>
      <c r="G314" s="2">
        <f>LN(int_data[[#This Row],[closes_ing]]/E313)</f>
        <v>1.7657297849925931E-2</v>
      </c>
    </row>
    <row r="315" spans="1:7" x14ac:dyDescent="0.2">
      <c r="A315" s="1">
        <v>45240</v>
      </c>
      <c r="B315">
        <v>64.48</v>
      </c>
      <c r="C315" s="2">
        <f>(int_data[[#This Row],[closes_alior]]-B314)/B314</f>
        <v>-6.7775723967960213E-3</v>
      </c>
      <c r="D315" s="2">
        <f>LN(int_data[[#This Row],[closes_alior]]/B314)</f>
        <v>-6.8006444480175491E-3</v>
      </c>
      <c r="E315">
        <v>215.82</v>
      </c>
      <c r="F315" s="2">
        <f>(int_data[[#This Row],[closes_ing]]-E314)/E314</f>
        <v>1.9498607242339251E-3</v>
      </c>
      <c r="G315" s="2">
        <f>LN(int_data[[#This Row],[closes_ing]]/E314)</f>
        <v>1.9479622132992608E-3</v>
      </c>
    </row>
    <row r="316" spans="1:7" x14ac:dyDescent="0.2">
      <c r="A316" s="1">
        <v>45241</v>
      </c>
      <c r="B316">
        <v>64.760000000000005</v>
      </c>
      <c r="C316" s="2">
        <f>(int_data[[#This Row],[closes_alior]]-B315)/B315</f>
        <v>4.3424317617866181E-3</v>
      </c>
      <c r="D316" s="2">
        <f>LN(int_data[[#This Row],[closes_alior]]/B315)</f>
        <v>4.3330306110615424E-3</v>
      </c>
      <c r="E316">
        <v>207.45</v>
      </c>
      <c r="F316" s="2">
        <f>(int_data[[#This Row],[closes_ing]]-E315)/E315</f>
        <v>-3.8782318598832383E-2</v>
      </c>
      <c r="G316" s="2">
        <f>LN(int_data[[#This Row],[closes_ing]]/E315)</f>
        <v>-3.9554380156710714E-2</v>
      </c>
    </row>
    <row r="317" spans="1:7" x14ac:dyDescent="0.2">
      <c r="A317" s="1">
        <v>45242</v>
      </c>
      <c r="B317">
        <v>65.53</v>
      </c>
      <c r="C317" s="2">
        <f>(int_data[[#This Row],[closes_alior]]-B316)/B316</f>
        <v>1.1890055589870227E-2</v>
      </c>
      <c r="D317" s="2">
        <f>LN(int_data[[#This Row],[closes_alior]]/B316)</f>
        <v>1.1819924241971048E-2</v>
      </c>
      <c r="E317">
        <v>209.96</v>
      </c>
      <c r="F317" s="2">
        <f>(int_data[[#This Row],[closes_ing]]-E316)/E316</f>
        <v>1.2099301036394406E-2</v>
      </c>
      <c r="G317" s="2">
        <f>LN(int_data[[#This Row],[closes_ing]]/E316)</f>
        <v>1.2026689605222143E-2</v>
      </c>
    </row>
    <row r="318" spans="1:7" x14ac:dyDescent="0.2">
      <c r="A318" s="1">
        <v>45243</v>
      </c>
      <c r="B318">
        <v>65.23</v>
      </c>
      <c r="C318" s="2">
        <f>(int_data[[#This Row],[closes_alior]]-B317)/B317</f>
        <v>-4.5780558522813541E-3</v>
      </c>
      <c r="D318" s="2">
        <f>LN(int_data[[#This Row],[closes_alior]]/B317)</f>
        <v>-4.5885672434007995E-3</v>
      </c>
      <c r="E318">
        <v>214.98</v>
      </c>
      <c r="F318" s="2">
        <f>(int_data[[#This Row],[closes_ing]]-E317)/E317</f>
        <v>2.3909316060201857E-2</v>
      </c>
      <c r="G318" s="2">
        <f>LN(int_data[[#This Row],[closes_ing]]/E317)</f>
        <v>2.3627964160818228E-2</v>
      </c>
    </row>
    <row r="319" spans="1:7" x14ac:dyDescent="0.2">
      <c r="A319" s="1">
        <v>45244</v>
      </c>
      <c r="B319">
        <v>64.484999999999999</v>
      </c>
      <c r="C319" s="2">
        <f>(int_data[[#This Row],[closes_alior]]-B318)/B318</f>
        <v>-1.1421125249118572E-2</v>
      </c>
      <c r="D319" s="2">
        <f>LN(int_data[[#This Row],[closes_alior]]/B318)</f>
        <v>-1.1486847191650105E-2</v>
      </c>
      <c r="E319">
        <v>216.655</v>
      </c>
      <c r="F319" s="2">
        <f>(int_data[[#This Row],[closes_ing]]-E318)/E318</f>
        <v>7.791422457903114E-3</v>
      </c>
      <c r="G319" s="2">
        <f>LN(int_data[[#This Row],[closes_ing]]/E318)</f>
        <v>7.7612260730534656E-3</v>
      </c>
    </row>
    <row r="320" spans="1:7" x14ac:dyDescent="0.2">
      <c r="A320" s="1">
        <v>45245</v>
      </c>
      <c r="B320">
        <v>63.74</v>
      </c>
      <c r="C320" s="2">
        <f>(int_data[[#This Row],[closes_alior]]-B319)/B319</f>
        <v>-1.1553074358377878E-2</v>
      </c>
      <c r="D320" s="2">
        <f>LN(int_data[[#This Row],[closes_alior]]/B319)</f>
        <v>-1.1620329627164108E-2</v>
      </c>
      <c r="E320">
        <v>218.33</v>
      </c>
      <c r="F320" s="2">
        <f>(int_data[[#This Row],[closes_ing]]-E319)/E319</f>
        <v>7.7311855253744954E-3</v>
      </c>
      <c r="G320" s="2">
        <f>LN(int_data[[#This Row],[closes_ing]]/E319)</f>
        <v>7.7014530570545395E-3</v>
      </c>
    </row>
    <row r="321" spans="1:7" x14ac:dyDescent="0.2">
      <c r="A321" s="1">
        <v>45246</v>
      </c>
      <c r="B321">
        <v>61.21</v>
      </c>
      <c r="C321" s="2">
        <f>(int_data[[#This Row],[closes_alior]]-B320)/B320</f>
        <v>-3.9692500784436792E-2</v>
      </c>
      <c r="D321" s="2">
        <f>LN(int_data[[#This Row],[closes_alior]]/B320)</f>
        <v>-4.0501734126211865E-2</v>
      </c>
      <c r="E321">
        <v>215.82</v>
      </c>
      <c r="F321" s="2">
        <f>(int_data[[#This Row],[closes_ing]]-E320)/E320</f>
        <v>-1.1496358723034027E-2</v>
      </c>
      <c r="G321" s="2">
        <f>LN(int_data[[#This Row],[closes_ing]]/E320)</f>
        <v>-1.1562952739437696E-2</v>
      </c>
    </row>
    <row r="322" spans="1:7" x14ac:dyDescent="0.2">
      <c r="A322" s="1">
        <v>45247</v>
      </c>
      <c r="B322">
        <v>61.68</v>
      </c>
      <c r="C322" s="2">
        <f>(int_data[[#This Row],[closes_alior]]-B321)/B321</f>
        <v>7.6784839078581748E-3</v>
      </c>
      <c r="D322" s="2">
        <f>LN(int_data[[#This Row],[closes_alior]]/B321)</f>
        <v>7.6491543920954655E-3</v>
      </c>
      <c r="E322">
        <v>215.82</v>
      </c>
      <c r="F322" s="2">
        <f>(int_data[[#This Row],[closes_ing]]-E321)/E321</f>
        <v>0</v>
      </c>
      <c r="G322" s="2">
        <f>LN(int_data[[#This Row],[closes_ing]]/E321)</f>
        <v>0</v>
      </c>
    </row>
    <row r="323" spans="1:7" x14ac:dyDescent="0.2">
      <c r="A323" s="1">
        <v>45248</v>
      </c>
      <c r="B323">
        <v>62.15</v>
      </c>
      <c r="C323" s="2">
        <f>(int_data[[#This Row],[closes_alior]]-B322)/B322</f>
        <v>7.6199740596627572E-3</v>
      </c>
      <c r="D323" s="2">
        <f>LN(int_data[[#This Row],[closes_alior]]/B322)</f>
        <v>7.5910887016460427E-3</v>
      </c>
      <c r="E323">
        <v>215.82</v>
      </c>
      <c r="F323" s="2">
        <f>(int_data[[#This Row],[closes_ing]]-E322)/E322</f>
        <v>0</v>
      </c>
      <c r="G323" s="2">
        <f>LN(int_data[[#This Row],[closes_ing]]/E322)</f>
        <v>0</v>
      </c>
    </row>
    <row r="324" spans="1:7" x14ac:dyDescent="0.2">
      <c r="A324" s="1">
        <v>45249</v>
      </c>
      <c r="B324">
        <v>61.3</v>
      </c>
      <c r="C324" s="2">
        <f>(int_data[[#This Row],[closes_alior]]-B323)/B323</f>
        <v>-1.3676588897827859E-2</v>
      </c>
      <c r="D324" s="2">
        <f>LN(int_data[[#This Row],[closes_alior]]/B323)</f>
        <v>-1.3770975014554425E-2</v>
      </c>
      <c r="E324">
        <v>207.87</v>
      </c>
      <c r="F324" s="2">
        <f>(int_data[[#This Row],[closes_ing]]-E323)/E323</f>
        <v>-3.6836252432582657E-2</v>
      </c>
      <c r="G324" s="2">
        <f>LN(int_data[[#This Row],[closes_ing]]/E323)</f>
        <v>-3.753184262818797E-2</v>
      </c>
    </row>
    <row r="325" spans="1:7" x14ac:dyDescent="0.2">
      <c r="A325" s="1">
        <v>45250</v>
      </c>
      <c r="B325">
        <v>61.28</v>
      </c>
      <c r="C325" s="2">
        <f>(int_data[[#This Row],[closes_alior]]-B324)/B324</f>
        <v>-3.2626427406192533E-4</v>
      </c>
      <c r="D325" s="2">
        <f>LN(int_data[[#This Row],[closes_alior]]/B324)</f>
        <v>-3.2631750982977037E-4</v>
      </c>
      <c r="E325">
        <v>209.12</v>
      </c>
      <c r="F325" s="2">
        <f>(int_data[[#This Row],[closes_ing]]-E324)/E324</f>
        <v>6.0133737432048872E-3</v>
      </c>
      <c r="G325" s="2">
        <f>LN(int_data[[#This Row],[closes_ing]]/E324)</f>
        <v>5.9953655685122051E-3</v>
      </c>
    </row>
    <row r="326" spans="1:7" x14ac:dyDescent="0.2">
      <c r="A326" s="1">
        <v>45251</v>
      </c>
      <c r="B326">
        <v>59.88</v>
      </c>
      <c r="C326" s="2">
        <f>(int_data[[#This Row],[closes_alior]]-B325)/B325</f>
        <v>-2.2845953002610941E-2</v>
      </c>
      <c r="D326" s="2">
        <f>LN(int_data[[#This Row],[closes_alior]]/B325)</f>
        <v>-2.3110965880908226E-2</v>
      </c>
      <c r="E326">
        <v>206.61</v>
      </c>
      <c r="F326" s="2">
        <f>(int_data[[#This Row],[closes_ing]]-E325)/E325</f>
        <v>-1.200267788829376E-2</v>
      </c>
      <c r="G326" s="2">
        <f>LN(int_data[[#This Row],[closes_ing]]/E325)</f>
        <v>-1.2075291651195237E-2</v>
      </c>
    </row>
    <row r="327" spans="1:7" x14ac:dyDescent="0.2">
      <c r="A327" s="1">
        <v>45252</v>
      </c>
      <c r="B327">
        <v>61.74</v>
      </c>
      <c r="C327" s="2">
        <f>(int_data[[#This Row],[closes_alior]]-B326)/B326</f>
        <v>3.1062124248496983E-2</v>
      </c>
      <c r="D327" s="2">
        <f>LN(int_data[[#This Row],[closes_alior]]/B326)</f>
        <v>3.058945952258561E-2</v>
      </c>
      <c r="E327">
        <v>206.61</v>
      </c>
      <c r="F327" s="2">
        <f>(int_data[[#This Row],[closes_ing]]-E326)/E326</f>
        <v>0</v>
      </c>
      <c r="G327" s="2">
        <f>LN(int_data[[#This Row],[closes_ing]]/E326)</f>
        <v>0</v>
      </c>
    </row>
    <row r="328" spans="1:7" x14ac:dyDescent="0.2">
      <c r="A328" s="1">
        <v>45253</v>
      </c>
      <c r="B328">
        <v>60.69</v>
      </c>
      <c r="C328" s="2">
        <f>(int_data[[#This Row],[closes_alior]]-B327)/B327</f>
        <v>-1.7006802721088503E-2</v>
      </c>
      <c r="D328" s="2">
        <f>LN(int_data[[#This Row],[closes_alior]]/B327)</f>
        <v>-1.7153079226249469E-2</v>
      </c>
      <c r="E328">
        <v>209.96</v>
      </c>
      <c r="F328" s="2">
        <f>(int_data[[#This Row],[closes_ing]]-E327)/E327</f>
        <v>1.6214123227336501E-2</v>
      </c>
      <c r="G328" s="2">
        <f>LN(int_data[[#This Row],[closes_ing]]/E327)</f>
        <v>1.6084078159382439E-2</v>
      </c>
    </row>
    <row r="329" spans="1:7" x14ac:dyDescent="0.2">
      <c r="A329" s="1">
        <v>45254</v>
      </c>
      <c r="B329">
        <v>61.63</v>
      </c>
      <c r="C329" s="2">
        <f>(int_data[[#This Row],[closes_alior]]-B328)/B328</f>
        <v>1.5488548360520759E-2</v>
      </c>
      <c r="D329" s="2">
        <f>LN(int_data[[#This Row],[closes_alior]]/B328)</f>
        <v>1.5369825126388023E-2</v>
      </c>
      <c r="E329">
        <v>210.8</v>
      </c>
      <c r="F329" s="2">
        <f>(int_data[[#This Row],[closes_ing]]-E328)/E328</f>
        <v>4.0007620499142851E-3</v>
      </c>
      <c r="G329" s="2">
        <f>LN(int_data[[#This Row],[closes_ing]]/E328)</f>
        <v>3.9927802831082526E-3</v>
      </c>
    </row>
    <row r="330" spans="1:7" x14ac:dyDescent="0.2">
      <c r="A330" s="1">
        <v>45255</v>
      </c>
      <c r="B330">
        <v>61.45</v>
      </c>
      <c r="C330" s="2">
        <f>(int_data[[#This Row],[closes_alior]]-B329)/B329</f>
        <v>-2.9206555249066965E-3</v>
      </c>
      <c r="D330" s="2">
        <f>LN(int_data[[#This Row],[closes_alior]]/B329)</f>
        <v>-2.9249289621079717E-3</v>
      </c>
      <c r="E330">
        <v>210.38</v>
      </c>
      <c r="F330" s="2">
        <f>(int_data[[#This Row],[closes_ing]]-E329)/E329</f>
        <v>-1.9924098671727508E-3</v>
      </c>
      <c r="G330" s="2">
        <f>LN(int_data[[#This Row],[closes_ing]]/E329)</f>
        <v>-1.9943973560792778E-3</v>
      </c>
    </row>
    <row r="331" spans="1:7" x14ac:dyDescent="0.2">
      <c r="A331" s="1">
        <v>45256</v>
      </c>
      <c r="B331">
        <v>61.27</v>
      </c>
      <c r="C331" s="2">
        <f>(int_data[[#This Row],[closes_alior]]-B330)/B330</f>
        <v>-2.9292107404393767E-3</v>
      </c>
      <c r="D331" s="2">
        <f>LN(int_data[[#This Row],[closes_alior]]/B330)</f>
        <v>-2.93350927448064E-3</v>
      </c>
      <c r="E331">
        <v>209.96</v>
      </c>
      <c r="F331" s="2">
        <f>(int_data[[#This Row],[closes_ing]]-E330)/E330</f>
        <v>-1.9963874893050076E-3</v>
      </c>
      <c r="G331" s="2">
        <f>LN(int_data[[#This Row],[closes_ing]]/E330)</f>
        <v>-1.9983829270289401E-3</v>
      </c>
    </row>
    <row r="332" spans="1:7" x14ac:dyDescent="0.2">
      <c r="A332" s="1">
        <v>45257</v>
      </c>
      <c r="B332">
        <v>62.21</v>
      </c>
      <c r="C332" s="2">
        <f>(int_data[[#This Row],[closes_alior]]-B331)/B331</f>
        <v>1.5341929165986579E-2</v>
      </c>
      <c r="D332" s="2">
        <f>LN(int_data[[#This Row],[closes_alior]]/B331)</f>
        <v>1.5225431789365239E-2</v>
      </c>
      <c r="E332">
        <v>211.63</v>
      </c>
      <c r="F332" s="2">
        <f>(int_data[[#This Row],[closes_ing]]-E331)/E331</f>
        <v>7.9538959801866427E-3</v>
      </c>
      <c r="G332" s="2">
        <f>LN(int_data[[#This Row],[closes_ing]]/E331)</f>
        <v>7.9224304882631429E-3</v>
      </c>
    </row>
    <row r="333" spans="1:7" x14ac:dyDescent="0.2">
      <c r="A333" s="1">
        <v>45258</v>
      </c>
      <c r="B333">
        <v>62.4</v>
      </c>
      <c r="C333" s="2">
        <f>(int_data[[#This Row],[closes_alior]]-B332)/B332</f>
        <v>3.0541713550875701E-3</v>
      </c>
      <c r="D333" s="2">
        <f>LN(int_data[[#This Row],[closes_alior]]/B332)</f>
        <v>3.0495168484535309E-3</v>
      </c>
      <c r="E333">
        <v>214.35</v>
      </c>
      <c r="F333" s="2">
        <f>(int_data[[#This Row],[closes_ing]]-E332)/E332</f>
        <v>1.2852620138921697E-2</v>
      </c>
      <c r="G333" s="2">
        <f>LN(int_data[[#This Row],[closes_ing]]/E332)</f>
        <v>1.2770726171623755E-2</v>
      </c>
    </row>
    <row r="334" spans="1:7" x14ac:dyDescent="0.2">
      <c r="A334" s="1">
        <v>45259</v>
      </c>
      <c r="B334">
        <v>62.59</v>
      </c>
      <c r="C334" s="2">
        <f>(int_data[[#This Row],[closes_alior]]-B333)/B333</f>
        <v>3.0448717948718725E-3</v>
      </c>
      <c r="D334" s="2">
        <f>LN(int_data[[#This Row],[closes_alior]]/B333)</f>
        <v>3.0402455612282158E-3</v>
      </c>
      <c r="E334">
        <v>217.07</v>
      </c>
      <c r="F334" s="2">
        <f>(int_data[[#This Row],[closes_ing]]-E333)/E333</f>
        <v>1.2689526475390711E-2</v>
      </c>
      <c r="G334" s="2">
        <f>LN(int_data[[#This Row],[closes_ing]]/E333)</f>
        <v>1.2609689123684847E-2</v>
      </c>
    </row>
    <row r="335" spans="1:7" x14ac:dyDescent="0.2">
      <c r="A335" s="1">
        <v>45260</v>
      </c>
      <c r="B335">
        <v>63.2</v>
      </c>
      <c r="C335" s="2">
        <f>(int_data[[#This Row],[closes_alior]]-B334)/B334</f>
        <v>9.7459658092346919E-3</v>
      </c>
      <c r="D335" s="2">
        <f>LN(int_data[[#This Row],[closes_alior]]/B334)</f>
        <v>9.6987802162016423E-3</v>
      </c>
      <c r="E335">
        <v>215.82</v>
      </c>
      <c r="F335" s="2">
        <f>(int_data[[#This Row],[closes_ing]]-E334)/E334</f>
        <v>-5.7585110793753171E-3</v>
      </c>
      <c r="G335" s="2">
        <f>LN(int_data[[#This Row],[closes_ing]]/E334)</f>
        <v>-5.7751552320833011E-3</v>
      </c>
    </row>
    <row r="336" spans="1:7" x14ac:dyDescent="0.2">
      <c r="A336" s="1">
        <v>45261</v>
      </c>
      <c r="B336">
        <v>62.47</v>
      </c>
      <c r="C336" s="2">
        <f>(int_data[[#This Row],[closes_alior]]-B335)/B335</f>
        <v>-1.1550632911392468E-2</v>
      </c>
      <c r="D336" s="2">
        <f>LN(int_data[[#This Row],[closes_alior]]/B335)</f>
        <v>-1.1617859647333263E-2</v>
      </c>
      <c r="E336">
        <v>209.12</v>
      </c>
      <c r="F336" s="2">
        <f>(int_data[[#This Row],[closes_ing]]-E335)/E335</f>
        <v>-3.1044388842553929E-2</v>
      </c>
      <c r="G336" s="2">
        <f>LN(int_data[[#This Row],[closes_ing]]/E335)</f>
        <v>-3.1536477059675661E-2</v>
      </c>
    </row>
    <row r="337" spans="1:7" x14ac:dyDescent="0.2">
      <c r="A337" s="1">
        <v>45262</v>
      </c>
      <c r="B337">
        <v>63.61</v>
      </c>
      <c r="C337" s="2">
        <f>(int_data[[#This Row],[closes_alior]]-B336)/B336</f>
        <v>1.8248759404514175E-2</v>
      </c>
      <c r="D337" s="2">
        <f>LN(int_data[[#This Row],[closes_alior]]/B336)</f>
        <v>1.8084249185234363E-2</v>
      </c>
      <c r="E337">
        <v>214.98</v>
      </c>
      <c r="F337" s="2">
        <f>(int_data[[#This Row],[closes_ing]]-E336)/E336</f>
        <v>2.8022188217291435E-2</v>
      </c>
      <c r="G337" s="2">
        <f>LN(int_data[[#This Row],[closes_ing]]/E336)</f>
        <v>2.7636750669005641E-2</v>
      </c>
    </row>
    <row r="338" spans="1:7" x14ac:dyDescent="0.2">
      <c r="A338" s="1">
        <v>45263</v>
      </c>
      <c r="B338">
        <v>65.58</v>
      </c>
      <c r="C338" s="2">
        <f>(int_data[[#This Row],[closes_alior]]-B337)/B337</f>
        <v>3.0969973274642335E-2</v>
      </c>
      <c r="D338" s="2">
        <f>LN(int_data[[#This Row],[closes_alior]]/B337)</f>
        <v>3.0500080725789216E-2</v>
      </c>
      <c r="E338">
        <v>210.8</v>
      </c>
      <c r="F338" s="2">
        <f>(int_data[[#This Row],[closes_ing]]-E337)/E337</f>
        <v>-1.9443669178528137E-2</v>
      </c>
      <c r="G338" s="2">
        <f>LN(int_data[[#This Row],[closes_ing]]/E337)</f>
        <v>-1.9635183877710079E-2</v>
      </c>
    </row>
    <row r="339" spans="1:7" x14ac:dyDescent="0.2">
      <c r="A339" s="1">
        <v>45264</v>
      </c>
      <c r="B339">
        <v>65.819999999999993</v>
      </c>
      <c r="C339" s="2">
        <f>(int_data[[#This Row],[closes_alior]]-B338)/B338</f>
        <v>3.6596523330282844E-3</v>
      </c>
      <c r="D339" s="2">
        <f>LN(int_data[[#This Row],[closes_alior]]/B338)</f>
        <v>3.6529720986916633E-3</v>
      </c>
      <c r="E339">
        <v>238.4</v>
      </c>
      <c r="F339" s="2">
        <f>(int_data[[#This Row],[closes_ing]]-E338)/E338</f>
        <v>0.13092979127134721</v>
      </c>
      <c r="G339" s="2">
        <f>LN(int_data[[#This Row],[closes_ing]]/E338)</f>
        <v>0.12304011852398737</v>
      </c>
    </row>
    <row r="340" spans="1:7" x14ac:dyDescent="0.2">
      <c r="A340" s="1">
        <v>45265</v>
      </c>
      <c r="B340">
        <v>68.260000000000005</v>
      </c>
      <c r="C340" s="2">
        <f>(int_data[[#This Row],[closes_alior]]-B339)/B339</f>
        <v>3.7070799149194957E-2</v>
      </c>
      <c r="D340" s="2">
        <f>LN(int_data[[#This Row],[closes_alior]]/B339)</f>
        <v>3.6400199963367304E-2</v>
      </c>
      <c r="E340">
        <v>240.91</v>
      </c>
      <c r="F340" s="2">
        <f>(int_data[[#This Row],[closes_ing]]-E339)/E339</f>
        <v>1.0528523489932847E-2</v>
      </c>
      <c r="G340" s="2">
        <f>LN(int_data[[#This Row],[closes_ing]]/E339)</f>
        <v>1.0473484568488303E-2</v>
      </c>
    </row>
    <row r="341" spans="1:7" x14ac:dyDescent="0.2">
      <c r="A341" s="1">
        <v>45266</v>
      </c>
      <c r="B341">
        <v>67.875</v>
      </c>
      <c r="C341" s="2">
        <f>(int_data[[#This Row],[closes_alior]]-B340)/B340</f>
        <v>-5.640199238206931E-3</v>
      </c>
      <c r="D341" s="2">
        <f>LN(int_data[[#This Row],[closes_alior]]/B340)</f>
        <v>-5.6561652244615278E-3</v>
      </c>
      <c r="E341">
        <v>238.19</v>
      </c>
      <c r="F341" s="2">
        <f>(int_data[[#This Row],[closes_ing]]-E340)/E340</f>
        <v>-1.1290523431987045E-2</v>
      </c>
      <c r="G341" s="2">
        <f>LN(int_data[[#This Row],[closes_ing]]/E340)</f>
        <v>-1.1354745247859914E-2</v>
      </c>
    </row>
    <row r="342" spans="1:7" x14ac:dyDescent="0.2">
      <c r="A342" s="1">
        <v>45267</v>
      </c>
      <c r="B342">
        <v>67.489999999999995</v>
      </c>
      <c r="C342" s="2">
        <f>(int_data[[#This Row],[closes_alior]]-B341)/B341</f>
        <v>-5.6721915285451955E-3</v>
      </c>
      <c r="D342" s="2">
        <f>LN(int_data[[#This Row],[closes_alior]]/B341)</f>
        <v>-5.6883394987844102E-3</v>
      </c>
      <c r="E342">
        <v>235.47</v>
      </c>
      <c r="F342" s="2">
        <f>(int_data[[#This Row],[closes_ing]]-E341)/E341</f>
        <v>-1.1419455056887354E-2</v>
      </c>
      <c r="G342" s="2">
        <f>LN(int_data[[#This Row],[closes_ing]]/E341)</f>
        <v>-1.1485157704991065E-2</v>
      </c>
    </row>
    <row r="343" spans="1:7" x14ac:dyDescent="0.2">
      <c r="A343" s="1">
        <v>45268</v>
      </c>
      <c r="B343">
        <v>67.58</v>
      </c>
      <c r="C343" s="2">
        <f>(int_data[[#This Row],[closes_alior]]-B342)/B342</f>
        <v>1.3335308934657492E-3</v>
      </c>
      <c r="D343" s="2">
        <f>LN(int_data[[#This Row],[closes_alior]]/B342)</f>
        <v>1.3326425308287258E-3</v>
      </c>
      <c r="E343">
        <v>242.16</v>
      </c>
      <c r="F343" s="2">
        <f>(int_data[[#This Row],[closes_ing]]-E342)/E342</f>
        <v>2.841126258122053E-2</v>
      </c>
      <c r="G343" s="2">
        <f>LN(int_data[[#This Row],[closes_ing]]/E342)</f>
        <v>2.8015147906631163E-2</v>
      </c>
    </row>
    <row r="344" spans="1:7" x14ac:dyDescent="0.2">
      <c r="A344" s="1">
        <v>45269</v>
      </c>
      <c r="B344">
        <v>67.77</v>
      </c>
      <c r="C344" s="2">
        <f>(int_data[[#This Row],[closes_alior]]-B343)/B343</f>
        <v>2.8114826871855243E-3</v>
      </c>
      <c r="D344" s="2">
        <f>LN(int_data[[#This Row],[closes_alior]]/B343)</f>
        <v>2.8075378618775985E-3</v>
      </c>
      <c r="E344">
        <v>239.655</v>
      </c>
      <c r="F344" s="2">
        <f>(int_data[[#This Row],[closes_ing]]-E343)/E343</f>
        <v>-1.0344400396432092E-2</v>
      </c>
      <c r="G344" s="2">
        <f>LN(int_data[[#This Row],[closes_ing]]/E343)</f>
        <v>-1.0398275565818666E-2</v>
      </c>
    </row>
    <row r="345" spans="1:7" x14ac:dyDescent="0.2">
      <c r="A345" s="1">
        <v>45270</v>
      </c>
      <c r="B345">
        <v>67.959999999999994</v>
      </c>
      <c r="C345" s="2">
        <f>(int_data[[#This Row],[closes_alior]]-B344)/B344</f>
        <v>2.8036004131621328E-3</v>
      </c>
      <c r="D345" s="2">
        <f>LN(int_data[[#This Row],[closes_alior]]/B344)</f>
        <v>2.799677655709704E-3</v>
      </c>
      <c r="E345">
        <v>237.15</v>
      </c>
      <c r="F345" s="2">
        <f>(int_data[[#This Row],[closes_ing]]-E344)/E344</f>
        <v>-1.0452525505414013E-2</v>
      </c>
      <c r="G345" s="2">
        <f>LN(int_data[[#This Row],[closes_ing]]/E344)</f>
        <v>-1.0507536824053801E-2</v>
      </c>
    </row>
    <row r="346" spans="1:7" x14ac:dyDescent="0.2">
      <c r="A346" s="1">
        <v>45271</v>
      </c>
      <c r="B346">
        <v>66.8</v>
      </c>
      <c r="C346" s="2">
        <f>(int_data[[#This Row],[closes_alior]]-B345)/B345</f>
        <v>-1.7068864037669169E-2</v>
      </c>
      <c r="D346" s="2">
        <f>LN(int_data[[#This Row],[closes_alior]]/B345)</f>
        <v>-1.7216216261131175E-2</v>
      </c>
      <c r="E346">
        <v>228.78</v>
      </c>
      <c r="F346" s="2">
        <f>(int_data[[#This Row],[closes_ing]]-E345)/E345</f>
        <v>-3.5294117647058844E-2</v>
      </c>
      <c r="G346" s="2">
        <f>LN(int_data[[#This Row],[closes_ing]]/E345)</f>
        <v>-3.5932009226063329E-2</v>
      </c>
    </row>
    <row r="347" spans="1:7" x14ac:dyDescent="0.2">
      <c r="A347" s="1">
        <v>45272</v>
      </c>
      <c r="B347">
        <v>66.66</v>
      </c>
      <c r="C347" s="2">
        <f>(int_data[[#This Row],[closes_alior]]-B346)/B346</f>
        <v>-2.0958083832335415E-3</v>
      </c>
      <c r="D347" s="2">
        <f>LN(int_data[[#This Row],[closes_alior]]/B346)</f>
        <v>-2.0980076630064144E-3</v>
      </c>
      <c r="E347">
        <v>230.04</v>
      </c>
      <c r="F347" s="2">
        <f>(int_data[[#This Row],[closes_ing]]-E346)/E346</f>
        <v>5.5074744295829656E-3</v>
      </c>
      <c r="G347" s="2">
        <f>LN(int_data[[#This Row],[closes_ing]]/E346)</f>
        <v>5.4923637480259408E-3</v>
      </c>
    </row>
    <row r="348" spans="1:7" x14ac:dyDescent="0.2">
      <c r="A348" s="1">
        <v>45273</v>
      </c>
      <c r="B348">
        <v>67.540000000000006</v>
      </c>
      <c r="C348" s="2">
        <f>(int_data[[#This Row],[closes_alior]]-B347)/B347</f>
        <v>1.3201320132013347E-2</v>
      </c>
      <c r="D348" s="2">
        <f>LN(int_data[[#This Row],[closes_alior]]/B347)</f>
        <v>1.3114942077828168E-2</v>
      </c>
      <c r="E348">
        <v>235.06</v>
      </c>
      <c r="F348" s="2">
        <f>(int_data[[#This Row],[closes_ing]]-E347)/E347</f>
        <v>2.1822291775343464E-2</v>
      </c>
      <c r="G348" s="2">
        <f>LN(int_data[[#This Row],[closes_ing]]/E347)</f>
        <v>2.1587593859154659E-2</v>
      </c>
    </row>
    <row r="349" spans="1:7" x14ac:dyDescent="0.2">
      <c r="A349" s="1">
        <v>45274</v>
      </c>
      <c r="B349">
        <v>67.37</v>
      </c>
      <c r="C349" s="2">
        <f>(int_data[[#This Row],[closes_alior]]-B348)/B348</f>
        <v>-2.5170269469943986E-3</v>
      </c>
      <c r="D349" s="2">
        <f>LN(int_data[[#This Row],[closes_alior]]/B348)</f>
        <v>-2.5201999848531924E-3</v>
      </c>
      <c r="E349">
        <v>229.2</v>
      </c>
      <c r="F349" s="2">
        <f>(int_data[[#This Row],[closes_ing]]-E348)/E348</f>
        <v>-2.4929805156130407E-2</v>
      </c>
      <c r="G349" s="2">
        <f>LN(int_data[[#This Row],[closes_ing]]/E348)</f>
        <v>-2.5245815864123632E-2</v>
      </c>
    </row>
    <row r="350" spans="1:7" x14ac:dyDescent="0.2">
      <c r="A350" s="1">
        <v>45275</v>
      </c>
      <c r="B350">
        <v>70.36</v>
      </c>
      <c r="C350" s="2">
        <f>(int_data[[#This Row],[closes_alior]]-B349)/B349</f>
        <v>4.4381772302211589E-2</v>
      </c>
      <c r="D350" s="2">
        <f>LN(int_data[[#This Row],[closes_alior]]/B349)</f>
        <v>4.3425104896788802E-2</v>
      </c>
      <c r="E350">
        <v>233.38</v>
      </c>
      <c r="F350" s="2">
        <f>(int_data[[#This Row],[closes_ing]]-E349)/E349</f>
        <v>1.8237347294938949E-2</v>
      </c>
      <c r="G350" s="2">
        <f>LN(int_data[[#This Row],[closes_ing]]/E349)</f>
        <v>1.8073041537376697E-2</v>
      </c>
    </row>
    <row r="351" spans="1:7" x14ac:dyDescent="0.2">
      <c r="A351" s="1">
        <v>45276</v>
      </c>
      <c r="B351">
        <v>70.64</v>
      </c>
      <c r="C351" s="2">
        <f>(int_data[[#This Row],[closes_alior]]-B350)/B350</f>
        <v>3.9795338260375374E-3</v>
      </c>
      <c r="D351" s="2">
        <f>LN(int_data[[#This Row],[closes_alior]]/B350)</f>
        <v>3.971636426347183E-3</v>
      </c>
      <c r="E351">
        <v>232.55</v>
      </c>
      <c r="F351" s="2">
        <f>(int_data[[#This Row],[closes_ing]]-E350)/E350</f>
        <v>-3.5564315708286232E-3</v>
      </c>
      <c r="G351" s="2">
        <f>LN(int_data[[#This Row],[closes_ing]]/E350)</f>
        <v>-3.5627707078551693E-3</v>
      </c>
    </row>
    <row r="352" spans="1:7" x14ac:dyDescent="0.2">
      <c r="A352" s="1">
        <v>45277</v>
      </c>
      <c r="B352">
        <v>71.325000000000003</v>
      </c>
      <c r="C352" s="2">
        <f>(int_data[[#This Row],[closes_alior]]-B351)/B351</f>
        <v>9.6970554926387644E-3</v>
      </c>
      <c r="D352" s="2">
        <f>LN(int_data[[#This Row],[closes_alior]]/B351)</f>
        <v>9.6503408038591618E-3</v>
      </c>
      <c r="E352">
        <v>234.22</v>
      </c>
      <c r="F352" s="2">
        <f>(int_data[[#This Row],[closes_ing]]-E351)/E351</f>
        <v>7.1812513437969783E-3</v>
      </c>
      <c r="G352" s="2">
        <f>LN(int_data[[#This Row],[closes_ing]]/E351)</f>
        <v>7.1555889438851559E-3</v>
      </c>
    </row>
    <row r="353" spans="1:7" x14ac:dyDescent="0.2">
      <c r="A353" s="1">
        <v>45278</v>
      </c>
      <c r="B353">
        <v>72.010000000000005</v>
      </c>
      <c r="C353" s="2">
        <f>(int_data[[#This Row],[closes_alior]]-B352)/B352</f>
        <v>9.6039256922537987E-3</v>
      </c>
      <c r="D353" s="2">
        <f>LN(int_data[[#This Row],[closes_alior]]/B352)</f>
        <v>9.5581011612117447E-3</v>
      </c>
      <c r="E353">
        <v>235.89</v>
      </c>
      <c r="F353" s="2">
        <f>(int_data[[#This Row],[closes_ing]]-E352)/E352</f>
        <v>7.1300486721884871E-3</v>
      </c>
      <c r="G353" s="2">
        <f>LN(int_data[[#This Row],[closes_ing]]/E352)</f>
        <v>7.1047500575431794E-3</v>
      </c>
    </row>
    <row r="354" spans="1:7" x14ac:dyDescent="0.2">
      <c r="A354" s="1">
        <v>45279</v>
      </c>
      <c r="B354">
        <v>71.8</v>
      </c>
      <c r="C354" s="2">
        <f>(int_data[[#This Row],[closes_alior]]-B353)/B353</f>
        <v>-2.9162616303292314E-3</v>
      </c>
      <c r="D354" s="2">
        <f>LN(int_data[[#This Row],[closes_alior]]/B353)</f>
        <v>-2.9205222065970295E-3</v>
      </c>
      <c r="E354">
        <v>240.49</v>
      </c>
      <c r="F354" s="2">
        <f>(int_data[[#This Row],[closes_ing]]-E353)/E353</f>
        <v>1.9500614693289342E-2</v>
      </c>
      <c r="G354" s="2">
        <f>LN(int_data[[#This Row],[closes_ing]]/E353)</f>
        <v>1.9312913968227784E-2</v>
      </c>
    </row>
    <row r="355" spans="1:7" x14ac:dyDescent="0.2">
      <c r="A355" s="1">
        <v>45280</v>
      </c>
      <c r="B355">
        <v>72.775000000000006</v>
      </c>
      <c r="C355" s="2">
        <f>(int_data[[#This Row],[closes_alior]]-B354)/B354</f>
        <v>1.3579387186629646E-2</v>
      </c>
      <c r="D355" s="2">
        <f>LN(int_data[[#This Row],[closes_alior]]/B354)</f>
        <v>1.348801357750855E-2</v>
      </c>
      <c r="E355">
        <v>242.375</v>
      </c>
      <c r="F355" s="2">
        <f>(int_data[[#This Row],[closes_ing]]-E354)/E354</f>
        <v>7.8381637490123942E-3</v>
      </c>
      <c r="G355" s="2">
        <f>LN(int_data[[#This Row],[closes_ing]]/E354)</f>
        <v>7.8076049230538687E-3</v>
      </c>
    </row>
    <row r="356" spans="1:7" x14ac:dyDescent="0.2">
      <c r="A356" s="1">
        <v>45281</v>
      </c>
      <c r="B356">
        <v>73.75</v>
      </c>
      <c r="C356" s="2">
        <f>(int_data[[#This Row],[closes_alior]]-B355)/B355</f>
        <v>1.3397457918241075E-2</v>
      </c>
      <c r="D356" s="2">
        <f>LN(int_data[[#This Row],[closes_alior]]/B355)</f>
        <v>1.3308505588242116E-2</v>
      </c>
      <c r="E356">
        <v>244.26</v>
      </c>
      <c r="F356" s="2">
        <f>(int_data[[#This Row],[closes_ing]]-E355)/E355</f>
        <v>7.7772047447137328E-3</v>
      </c>
      <c r="G356" s="2">
        <f>LN(int_data[[#This Row],[closes_ing]]/E355)</f>
        <v>7.7471181801265915E-3</v>
      </c>
    </row>
    <row r="357" spans="1:7" x14ac:dyDescent="0.2">
      <c r="A357" s="1">
        <v>45282</v>
      </c>
      <c r="B357">
        <v>74.040000000000006</v>
      </c>
      <c r="C357" s="2">
        <f>(int_data[[#This Row],[closes_alior]]-B356)/B356</f>
        <v>3.9322033898305936E-3</v>
      </c>
      <c r="D357" s="2">
        <f>LN(int_data[[#This Row],[closes_alior]]/B356)</f>
        <v>3.924492485367621E-3</v>
      </c>
      <c r="E357">
        <v>246.77</v>
      </c>
      <c r="F357" s="2">
        <f>(int_data[[#This Row],[closes_ing]]-E356)/E356</f>
        <v>1.0275935478588469E-2</v>
      </c>
      <c r="G357" s="2">
        <f>LN(int_data[[#This Row],[closes_ing]]/E356)</f>
        <v>1.0223496984049991E-2</v>
      </c>
    </row>
    <row r="358" spans="1:7" x14ac:dyDescent="0.2">
      <c r="A358" s="1">
        <v>45283</v>
      </c>
      <c r="B358">
        <v>76.06</v>
      </c>
      <c r="C358" s="2">
        <f>(int_data[[#This Row],[closes_alior]]-B357)/B357</f>
        <v>2.7282549972987517E-2</v>
      </c>
      <c r="D358" s="2">
        <f>LN(int_data[[#This Row],[closes_alior]]/B357)</f>
        <v>2.6917014794816892E-2</v>
      </c>
      <c r="E358">
        <v>247.6</v>
      </c>
      <c r="F358" s="2">
        <f>(int_data[[#This Row],[closes_ing]]-E357)/E357</f>
        <v>3.3634558495764643E-3</v>
      </c>
      <c r="G358" s="2">
        <f>LN(int_data[[#This Row],[closes_ing]]/E357)</f>
        <v>3.3578120834486017E-3</v>
      </c>
    </row>
    <row r="359" spans="1:7" x14ac:dyDescent="0.2">
      <c r="A359" s="1">
        <v>45284</v>
      </c>
      <c r="B359">
        <v>76.760000000000005</v>
      </c>
      <c r="C359" s="2">
        <f>(int_data[[#This Row],[closes_alior]]-B358)/B358</f>
        <v>9.2032605837497079E-3</v>
      </c>
      <c r="D359" s="2">
        <f>LN(int_data[[#This Row],[closes_alior]]/B358)</f>
        <v>9.1611686393856528E-3</v>
      </c>
      <c r="E359">
        <v>253.04</v>
      </c>
      <c r="F359" s="2">
        <f>(int_data[[#This Row],[closes_ing]]-E358)/E358</f>
        <v>2.1970920840064613E-2</v>
      </c>
      <c r="G359" s="2">
        <f>LN(int_data[[#This Row],[closes_ing]]/E358)</f>
        <v>2.1733038186952432E-2</v>
      </c>
    </row>
    <row r="360" spans="1:7" x14ac:dyDescent="0.2">
      <c r="A360" s="1">
        <v>45285</v>
      </c>
      <c r="B360">
        <v>77.37</v>
      </c>
      <c r="C360" s="2">
        <f>(int_data[[#This Row],[closes_alior]]-B359)/B359</f>
        <v>7.9468473163105697E-3</v>
      </c>
      <c r="D360" s="2">
        <f>LN(int_data[[#This Row],[closes_alior]]/B359)</f>
        <v>7.9154374218640394E-3</v>
      </c>
      <c r="E360">
        <v>255.13</v>
      </c>
      <c r="F360" s="2">
        <f>(int_data[[#This Row],[closes_ing]]-E359)/E359</f>
        <v>8.2595637053430419E-3</v>
      </c>
      <c r="G360" s="2">
        <f>LN(int_data[[#This Row],[closes_ing]]/E359)</f>
        <v>8.2256401767313476E-3</v>
      </c>
    </row>
    <row r="361" spans="1:7" x14ac:dyDescent="0.2">
      <c r="A361" s="1">
        <v>45286</v>
      </c>
      <c r="B361">
        <v>76.22</v>
      </c>
      <c r="C361" s="2">
        <f>(int_data[[#This Row],[closes_alior]]-B360)/B360</f>
        <v>-1.4863642238593842E-2</v>
      </c>
      <c r="D361" s="2">
        <f>LN(int_data[[#This Row],[closes_alior]]/B360)</f>
        <v>-1.4975213115648997E-2</v>
      </c>
      <c r="E361">
        <v>259.31</v>
      </c>
      <c r="F361" s="2">
        <f>(int_data[[#This Row],[closes_ing]]-E360)/E360</f>
        <v>1.6383804335044907E-2</v>
      </c>
      <c r="G361" s="2">
        <f>LN(int_data[[#This Row],[closes_ing]]/E360)</f>
        <v>1.625103799516853E-2</v>
      </c>
    </row>
    <row r="362" spans="1:7" x14ac:dyDescent="0.2">
      <c r="A362" s="1">
        <v>45287</v>
      </c>
      <c r="B362">
        <v>77.89</v>
      </c>
      <c r="C362" s="2">
        <f>(int_data[[#This Row],[closes_alior]]-B361)/B361</f>
        <v>2.1910259774337467E-2</v>
      </c>
      <c r="D362" s="2">
        <f>LN(int_data[[#This Row],[closes_alior]]/B361)</f>
        <v>2.1673679486143026E-2</v>
      </c>
      <c r="E362">
        <v>255.97</v>
      </c>
      <c r="F362" s="2">
        <f>(int_data[[#This Row],[closes_ing]]-E361)/E361</f>
        <v>-1.2880336277042935E-2</v>
      </c>
      <c r="G362" s="2">
        <f>LN(int_data[[#This Row],[closes_ing]]/E361)</f>
        <v>-1.2964007056722321E-2</v>
      </c>
    </row>
    <row r="363" spans="1:7" x14ac:dyDescent="0.2">
      <c r="A363" s="1">
        <v>45288</v>
      </c>
      <c r="B363">
        <v>80.625</v>
      </c>
      <c r="C363" s="2">
        <f>(int_data[[#This Row],[closes_alior]]-B362)/B362</f>
        <v>3.5113621774297075E-2</v>
      </c>
      <c r="D363" s="2">
        <f>LN(int_data[[#This Row],[closes_alior]]/B362)</f>
        <v>3.4511200184079424E-2</v>
      </c>
      <c r="E363">
        <v>258.89499999999998</v>
      </c>
      <c r="F363" s="2">
        <f>(int_data[[#This Row],[closes_ing]]-E362)/E362</f>
        <v>1.1427120365667785E-2</v>
      </c>
      <c r="G363" s="2">
        <f>LN(int_data[[#This Row],[closes_ing]]/E362)</f>
        <v>1.1362323982573258E-2</v>
      </c>
    </row>
    <row r="364" spans="1:7" x14ac:dyDescent="0.2">
      <c r="A364" s="1">
        <v>45289</v>
      </c>
      <c r="B364">
        <v>83.36</v>
      </c>
      <c r="C364" s="2">
        <f>(int_data[[#This Row],[closes_alior]]-B363)/B363</f>
        <v>3.3922480620155029E-2</v>
      </c>
      <c r="D364" s="2">
        <f>LN(int_data[[#This Row],[closes_alior]]/B363)</f>
        <v>3.3359802889120202E-2</v>
      </c>
      <c r="E364">
        <v>261.82</v>
      </c>
      <c r="F364" s="2">
        <f>(int_data[[#This Row],[closes_ing]]-E363)/E363</f>
        <v>1.1298016570424348E-2</v>
      </c>
      <c r="G364" s="2">
        <f>LN(int_data[[#This Row],[closes_ing]]/E363)</f>
        <v>1.123467065680878E-2</v>
      </c>
    </row>
    <row r="365" spans="1:7" x14ac:dyDescent="0.2">
      <c r="A365" s="1">
        <v>45290</v>
      </c>
      <c r="B365">
        <v>82.42</v>
      </c>
      <c r="C365" s="2">
        <f>(int_data[[#This Row],[closes_alior]]-B364)/B364</f>
        <v>-1.1276391554702468E-2</v>
      </c>
      <c r="D365" s="2">
        <f>LN(int_data[[#This Row],[closes_alior]]/B364)</f>
        <v>-1.1340452094385504E-2</v>
      </c>
      <c r="E365">
        <v>260.57</v>
      </c>
      <c r="F365" s="2">
        <f>(int_data[[#This Row],[closes_ing]]-E364)/E364</f>
        <v>-4.7742724008861051E-3</v>
      </c>
      <c r="G365" s="2">
        <f>LN(int_data[[#This Row],[closes_ing]]/E364)</f>
        <v>-4.7857056441586677E-3</v>
      </c>
    </row>
    <row r="366" spans="1:7" x14ac:dyDescent="0.2">
      <c r="A366" s="1">
        <v>45291</v>
      </c>
      <c r="B366">
        <v>81.98</v>
      </c>
      <c r="C366" s="2">
        <f>(int_data[[#This Row],[closes_alior]]-B365)/B365</f>
        <v>-5.3385100703712413E-3</v>
      </c>
      <c r="D366" s="2">
        <f>LN(int_data[[#This Row],[closes_alior]]/B365)</f>
        <v>-5.3528108344797478E-3</v>
      </c>
      <c r="E366">
        <v>257.43</v>
      </c>
      <c r="F366" s="2">
        <f>(int_data[[#This Row],[closes_ing]]-E365)/E365</f>
        <v>-1.2050504662854459E-2</v>
      </c>
      <c r="G366" s="2">
        <f>LN(int_data[[#This Row],[closes_ing]]/E365)</f>
        <v>-1.2123700620655063E-2</v>
      </c>
    </row>
    <row r="367" spans="1:7" x14ac:dyDescent="0.2">
      <c r="A367" s="1">
        <v>45292</v>
      </c>
      <c r="B367">
        <v>81.540000000000006</v>
      </c>
      <c r="C367" s="2">
        <f>(int_data[[#This Row],[closes_alior]]-B366)/B366</f>
        <v>-5.3671627226152437E-3</v>
      </c>
      <c r="D367" s="2">
        <f>LN(int_data[[#This Row],[closes_alior]]/B366)</f>
        <v>-5.3816176850841673E-3</v>
      </c>
      <c r="E367">
        <v>254.29</v>
      </c>
      <c r="F367" s="2">
        <f>(int_data[[#This Row],[closes_ing]]-E366)/E366</f>
        <v>-1.2197490579963543E-2</v>
      </c>
      <c r="G367" s="2">
        <f>LN(int_data[[#This Row],[closes_ing]]/E366)</f>
        <v>-1.2272490465763461E-2</v>
      </c>
    </row>
    <row r="368" spans="1:7" x14ac:dyDescent="0.2">
      <c r="A368" s="1">
        <v>45293</v>
      </c>
      <c r="B368">
        <v>79.12</v>
      </c>
      <c r="C368" s="2">
        <f>(int_data[[#This Row],[closes_alior]]-B367)/B367</f>
        <v>-2.9678685307824398E-2</v>
      </c>
      <c r="D368" s="2">
        <f>LN(int_data[[#This Row],[closes_alior]]/B367)</f>
        <v>-3.0128010076650648E-2</v>
      </c>
      <c r="E368">
        <v>253.88</v>
      </c>
      <c r="F368" s="2">
        <f>(int_data[[#This Row],[closes_ing]]-E367)/E367</f>
        <v>-1.6123323764206088E-3</v>
      </c>
      <c r="G368" s="2">
        <f>LN(int_data[[#This Row],[closes_ing]]/E367)</f>
        <v>-1.6136335831064472E-3</v>
      </c>
    </row>
    <row r="369" spans="1:7" x14ac:dyDescent="0.2">
      <c r="A369" s="1">
        <v>45294</v>
      </c>
      <c r="B369">
        <v>77.97</v>
      </c>
      <c r="C369" s="2">
        <f>(int_data[[#This Row],[closes_alior]]-B368)/B368</f>
        <v>-1.4534883720930303E-2</v>
      </c>
      <c r="D369" s="2">
        <f>LN(int_data[[#This Row],[closes_alior]]/B368)</f>
        <v>-1.4641549992948118E-2</v>
      </c>
      <c r="E369">
        <v>254.71</v>
      </c>
      <c r="F369" s="2">
        <f>(int_data[[#This Row],[closes_ing]]-E368)/E368</f>
        <v>3.2692610682212562E-3</v>
      </c>
      <c r="G369" s="2">
        <f>LN(int_data[[#This Row],[closes_ing]]/E368)</f>
        <v>3.2639286531323886E-3</v>
      </c>
    </row>
    <row r="370" spans="1:7" x14ac:dyDescent="0.2">
      <c r="A370" s="1">
        <v>45295</v>
      </c>
      <c r="B370">
        <v>77.625</v>
      </c>
      <c r="C370" s="2">
        <f>(int_data[[#This Row],[closes_alior]]-B369)/B369</f>
        <v>-4.4247787610619321E-3</v>
      </c>
      <c r="D370" s="2">
        <f>LN(int_data[[#This Row],[closes_alior]]/B369)</f>
        <v>-4.4345970678657531E-3</v>
      </c>
      <c r="E370">
        <v>256.38499999999999</v>
      </c>
      <c r="F370" s="2">
        <f>(int_data[[#This Row],[closes_ing]]-E369)/E369</f>
        <v>6.5761061599465386E-3</v>
      </c>
      <c r="G370" s="2">
        <f>LN(int_data[[#This Row],[closes_ing]]/E369)</f>
        <v>6.5545779036909266E-3</v>
      </c>
    </row>
    <row r="371" spans="1:7" x14ac:dyDescent="0.2">
      <c r="A371" s="1">
        <v>45296</v>
      </c>
      <c r="B371">
        <v>77.28</v>
      </c>
      <c r="C371" s="2">
        <f>(int_data[[#This Row],[closes_alior]]-B370)/B370</f>
        <v>-4.4444444444444297E-3</v>
      </c>
      <c r="D371" s="2">
        <f>LN(int_data[[#This Row],[closes_alior]]/B370)</f>
        <v>-4.4543503493803087E-3</v>
      </c>
      <c r="E371">
        <v>258.06</v>
      </c>
      <c r="F371" s="2">
        <f>(int_data[[#This Row],[closes_ing]]-E370)/E370</f>
        <v>6.5331435146362363E-3</v>
      </c>
      <c r="G371" s="2">
        <f>LN(int_data[[#This Row],[closes_ing]]/E370)</f>
        <v>6.511895028607325E-3</v>
      </c>
    </row>
    <row r="372" spans="1:7" x14ac:dyDescent="0.2">
      <c r="A372" s="1">
        <v>45297</v>
      </c>
      <c r="B372">
        <v>78.44</v>
      </c>
      <c r="C372" s="2">
        <f>(int_data[[#This Row],[closes_alior]]-B371)/B371</f>
        <v>1.5010351966873661E-2</v>
      </c>
      <c r="D372" s="2">
        <f>LN(int_data[[#This Row],[closes_alior]]/B371)</f>
        <v>1.4898811423882882E-2</v>
      </c>
      <c r="E372">
        <v>257.22000000000003</v>
      </c>
      <c r="F372" s="2">
        <f>(int_data[[#This Row],[closes_ing]]-E371)/E371</f>
        <v>-3.2550569634967642E-3</v>
      </c>
      <c r="G372" s="2">
        <f>LN(int_data[[#This Row],[closes_ing]]/E371)</f>
        <v>-3.2603661857591722E-3</v>
      </c>
    </row>
    <row r="373" spans="1:7" x14ac:dyDescent="0.2">
      <c r="A373" s="1">
        <v>45298</v>
      </c>
      <c r="B373">
        <v>79.09</v>
      </c>
      <c r="C373" s="2">
        <f>(int_data[[#This Row],[closes_alior]]-B372)/B372</f>
        <v>8.2865884752677931E-3</v>
      </c>
      <c r="D373" s="2">
        <f>LN(int_data[[#This Row],[closes_alior]]/B372)</f>
        <v>8.2524432031804776E-3</v>
      </c>
      <c r="E373">
        <v>262.66000000000003</v>
      </c>
      <c r="F373" s="2">
        <f>(int_data[[#This Row],[closes_ing]]-E372)/E372</f>
        <v>2.1149210792317848E-2</v>
      </c>
      <c r="G373" s="2">
        <f>LN(int_data[[#This Row],[closes_ing]]/E372)</f>
        <v>2.0928670319073164E-2</v>
      </c>
    </row>
    <row r="374" spans="1:7" x14ac:dyDescent="0.2">
      <c r="A374" s="1">
        <v>45299</v>
      </c>
      <c r="B374">
        <v>83.26</v>
      </c>
      <c r="C374" s="2">
        <f>(int_data[[#This Row],[closes_alior]]-B373)/B373</f>
        <v>5.2724743962574303E-2</v>
      </c>
      <c r="D374" s="2">
        <f>LN(int_data[[#This Row],[closes_alior]]/B373)</f>
        <v>5.1381797235503443E-2</v>
      </c>
      <c r="E374">
        <v>261.82</v>
      </c>
      <c r="F374" s="2">
        <f>(int_data[[#This Row],[closes_ing]]-E373)/E373</f>
        <v>-3.1980507119471245E-3</v>
      </c>
      <c r="G374" s="2">
        <f>LN(int_data[[#This Row],[closes_ing]]/E373)</f>
        <v>-3.2031754050609942E-3</v>
      </c>
    </row>
    <row r="375" spans="1:7" x14ac:dyDescent="0.2">
      <c r="A375" s="1">
        <v>45300</v>
      </c>
      <c r="B375">
        <v>83.45</v>
      </c>
      <c r="C375" s="2">
        <f>(int_data[[#This Row],[closes_alior]]-B374)/B374</f>
        <v>2.2820081671870974E-3</v>
      </c>
      <c r="D375" s="2">
        <f>LN(int_data[[#This Row],[closes_alior]]/B374)</f>
        <v>2.2794083410146234E-3</v>
      </c>
      <c r="E375">
        <v>263.5</v>
      </c>
      <c r="F375" s="2">
        <f>(int_data[[#This Row],[closes_ing]]-E374)/E374</f>
        <v>6.4166221067909514E-3</v>
      </c>
      <c r="G375" s="2">
        <f>LN(int_data[[#This Row],[closes_ing]]/E374)</f>
        <v>6.3961232294640676E-3</v>
      </c>
    </row>
    <row r="376" spans="1:7" x14ac:dyDescent="0.2">
      <c r="A376" s="1">
        <v>45301</v>
      </c>
      <c r="B376">
        <v>83.004999999999995</v>
      </c>
      <c r="C376" s="2">
        <f>(int_data[[#This Row],[closes_alior]]-B375)/B375</f>
        <v>-5.3325344517676137E-3</v>
      </c>
      <c r="D376" s="2">
        <f>LN(int_data[[#This Row],[closes_alior]]/B375)</f>
        <v>-5.3468031618048315E-3</v>
      </c>
      <c r="E376">
        <v>264.755</v>
      </c>
      <c r="F376" s="2">
        <f>(int_data[[#This Row],[closes_ing]]-E375)/E375</f>
        <v>4.7628083491460926E-3</v>
      </c>
      <c r="G376" s="2">
        <f>LN(int_data[[#This Row],[closes_ing]]/E375)</f>
        <v>4.7515020630306895E-3</v>
      </c>
    </row>
    <row r="377" spans="1:7" x14ac:dyDescent="0.2">
      <c r="A377" s="1">
        <v>45302</v>
      </c>
      <c r="B377">
        <v>82.56</v>
      </c>
      <c r="C377" s="2">
        <f>(int_data[[#This Row],[closes_alior]]-B376)/B376</f>
        <v>-5.361122823926188E-3</v>
      </c>
      <c r="D377" s="2">
        <f>LN(int_data[[#This Row],[closes_alior]]/B376)</f>
        <v>-5.3755452127866778E-3</v>
      </c>
      <c r="E377">
        <v>266.01</v>
      </c>
      <c r="F377" s="2">
        <f>(int_data[[#This Row],[closes_ing]]-E376)/E376</f>
        <v>4.7402315348151897E-3</v>
      </c>
      <c r="G377" s="2">
        <f>LN(int_data[[#This Row],[closes_ing]]/E376)</f>
        <v>4.7290320155775993E-3</v>
      </c>
    </row>
    <row r="378" spans="1:7" x14ac:dyDescent="0.2">
      <c r="A378" s="1">
        <v>45303</v>
      </c>
      <c r="B378">
        <v>83.92</v>
      </c>
      <c r="C378" s="2">
        <f>(int_data[[#This Row],[closes_alior]]-B377)/B377</f>
        <v>1.6472868217054255E-2</v>
      </c>
      <c r="D378" s="2">
        <f>LN(int_data[[#This Row],[closes_alior]]/B377)</f>
        <v>1.633866235478916E-2</v>
      </c>
      <c r="E378">
        <v>272.27999999999997</v>
      </c>
      <c r="F378" s="2">
        <f>(int_data[[#This Row],[closes_ing]]-E377)/E377</f>
        <v>2.3570542460809675E-2</v>
      </c>
      <c r="G378" s="2">
        <f>LN(int_data[[#This Row],[closes_ing]]/E377)</f>
        <v>2.3297046519725285E-2</v>
      </c>
    </row>
    <row r="379" spans="1:7" x14ac:dyDescent="0.2">
      <c r="A379" s="1">
        <v>45304</v>
      </c>
      <c r="B379">
        <v>83.094999999999999</v>
      </c>
      <c r="C379" s="2">
        <f>(int_data[[#This Row],[closes_alior]]-B378)/B378</f>
        <v>-9.8307912297426452E-3</v>
      </c>
      <c r="D379" s="2">
        <f>LN(int_data[[#This Row],[closes_alior]]/B378)</f>
        <v>-9.8794325085551603E-3</v>
      </c>
      <c r="E379">
        <v>268.51499999999999</v>
      </c>
      <c r="F379" s="2">
        <f>(int_data[[#This Row],[closes_ing]]-E378)/E378</f>
        <v>-1.3827677390921061E-2</v>
      </c>
      <c r="G379" s="2">
        <f>LN(int_data[[#This Row],[closes_ing]]/E378)</f>
        <v>-1.3924170269486018E-2</v>
      </c>
    </row>
    <row r="380" spans="1:7" x14ac:dyDescent="0.2">
      <c r="A380" s="1">
        <v>45305</v>
      </c>
      <c r="B380">
        <v>82.27</v>
      </c>
      <c r="C380" s="2">
        <f>(int_data[[#This Row],[closes_alior]]-B379)/B379</f>
        <v>-9.9283952103014963E-3</v>
      </c>
      <c r="D380" s="2">
        <f>LN(int_data[[#This Row],[closes_alior]]/B379)</f>
        <v>-9.9780103986477162E-3</v>
      </c>
      <c r="E380">
        <v>264.75</v>
      </c>
      <c r="F380" s="2">
        <f>(int_data[[#This Row],[closes_ing]]-E379)/E379</f>
        <v>-1.4021563041170835E-2</v>
      </c>
      <c r="G380" s="2">
        <f>LN(int_data[[#This Row],[closes_ing]]/E379)</f>
        <v>-1.4120793828748731E-2</v>
      </c>
    </row>
    <row r="381" spans="1:7" x14ac:dyDescent="0.2">
      <c r="A381" s="1">
        <v>45306</v>
      </c>
      <c r="B381">
        <v>82.02</v>
      </c>
      <c r="C381" s="2">
        <f>(int_data[[#This Row],[closes_alior]]-B380)/B380</f>
        <v>-3.0387747660143433E-3</v>
      </c>
      <c r="D381" s="2">
        <f>LN(int_data[[#This Row],[closes_alior]]/B380)</f>
        <v>-3.043401216925732E-3</v>
      </c>
      <c r="E381">
        <v>258.89999999999998</v>
      </c>
      <c r="F381" s="2">
        <f>(int_data[[#This Row],[closes_ing]]-E380)/E380</f>
        <v>-2.2096317280453345E-2</v>
      </c>
      <c r="G381" s="2">
        <f>LN(int_data[[#This Row],[closes_ing]]/E380)</f>
        <v>-2.234409772402399E-2</v>
      </c>
    </row>
    <row r="382" spans="1:7" x14ac:dyDescent="0.2">
      <c r="A382" s="1">
        <v>45307</v>
      </c>
      <c r="B382">
        <v>80.84</v>
      </c>
      <c r="C382" s="2">
        <f>(int_data[[#This Row],[closes_alior]]-B381)/B381</f>
        <v>-1.4386734942696813E-2</v>
      </c>
      <c r="D382" s="2">
        <f>LN(int_data[[#This Row],[closes_alior]]/B381)</f>
        <v>-1.4491227428492849E-2</v>
      </c>
      <c r="E382">
        <v>258.06</v>
      </c>
      <c r="F382" s="2">
        <f>(int_data[[#This Row],[closes_ing]]-E381)/E381</f>
        <v>-3.2444959443799731E-3</v>
      </c>
      <c r="G382" s="2">
        <f>LN(int_data[[#This Row],[closes_ing]]/E381)</f>
        <v>-3.2497707337918566E-3</v>
      </c>
    </row>
    <row r="383" spans="1:7" x14ac:dyDescent="0.2">
      <c r="A383" s="1">
        <v>45308</v>
      </c>
      <c r="B383">
        <v>84.22</v>
      </c>
      <c r="C383" s="2">
        <f>(int_data[[#This Row],[closes_alior]]-B382)/B382</f>
        <v>4.1810984661058821E-2</v>
      </c>
      <c r="D383" s="2">
        <f>LN(int_data[[#This Row],[closes_alior]]/B382)</f>
        <v>4.0960530198361392E-2</v>
      </c>
      <c r="E383">
        <v>272.7</v>
      </c>
      <c r="F383" s="2">
        <f>(int_data[[#This Row],[closes_ing]]-E382)/E382</f>
        <v>5.6730992792373813E-2</v>
      </c>
      <c r="G383" s="2">
        <f>LN(int_data[[#This Row],[closes_ing]]/E382)</f>
        <v>5.5180173827842842E-2</v>
      </c>
    </row>
    <row r="384" spans="1:7" x14ac:dyDescent="0.2">
      <c r="A384" s="1">
        <v>45309</v>
      </c>
      <c r="B384">
        <v>82.86</v>
      </c>
      <c r="C384" s="2">
        <f>(int_data[[#This Row],[closes_alior]]-B383)/B383</f>
        <v>-1.614818332937544E-2</v>
      </c>
      <c r="D384" s="2">
        <f>LN(int_data[[#This Row],[closes_alior]]/B383)</f>
        <v>-1.6279986084525917E-2</v>
      </c>
      <c r="E384">
        <v>269.77</v>
      </c>
      <c r="F384" s="2">
        <f>(int_data[[#This Row],[closes_ing]]-E383)/E383</f>
        <v>-1.0744407774110769E-2</v>
      </c>
      <c r="G384" s="2">
        <f>LN(int_data[[#This Row],[closes_ing]]/E383)</f>
        <v>-1.0802545736989674E-2</v>
      </c>
    </row>
    <row r="385" spans="1:7" x14ac:dyDescent="0.2">
      <c r="A385" s="1">
        <v>45310</v>
      </c>
      <c r="B385">
        <v>82.81</v>
      </c>
      <c r="C385" s="2">
        <f>(int_data[[#This Row],[closes_alior]]-B384)/B384</f>
        <v>-6.0342746801830989E-4</v>
      </c>
      <c r="D385" s="2">
        <f>LN(int_data[[#This Row],[closes_alior]]/B384)</f>
        <v>-6.036096036470287E-4</v>
      </c>
      <c r="E385">
        <v>270.19</v>
      </c>
      <c r="F385" s="2">
        <f>(int_data[[#This Row],[closes_ing]]-E384)/E384</f>
        <v>1.5568817881899987E-3</v>
      </c>
      <c r="G385" s="2">
        <f>LN(int_data[[#This Row],[closes_ing]]/E384)</f>
        <v>1.5556711041704188E-3</v>
      </c>
    </row>
    <row r="386" spans="1:7" x14ac:dyDescent="0.2">
      <c r="A386" s="1">
        <v>45311</v>
      </c>
      <c r="B386">
        <v>83.97</v>
      </c>
      <c r="C386" s="2">
        <f>(int_data[[#This Row],[closes_alior]]-B385)/B385</f>
        <v>1.4007970051926054E-2</v>
      </c>
      <c r="D386" s="2">
        <f>LN(int_data[[#This Row],[closes_alior]]/B385)</f>
        <v>1.3910765149863032E-2</v>
      </c>
      <c r="E386">
        <v>280.23</v>
      </c>
      <c r="F386" s="2">
        <f>(int_data[[#This Row],[closes_ing]]-E385)/E385</f>
        <v>3.7159036233761503E-2</v>
      </c>
      <c r="G386" s="2">
        <f>LN(int_data[[#This Row],[closes_ing]]/E385)</f>
        <v>3.6485279334143438E-2</v>
      </c>
    </row>
    <row r="387" spans="1:7" x14ac:dyDescent="0.2">
      <c r="A387" s="1">
        <v>45312</v>
      </c>
      <c r="B387">
        <v>84.06</v>
      </c>
      <c r="C387" s="2">
        <f>(int_data[[#This Row],[closes_alior]]-B386)/B386</f>
        <v>1.0718113612004693E-3</v>
      </c>
      <c r="D387" s="2">
        <f>LN(int_data[[#This Row],[closes_alior]]/B386)</f>
        <v>1.0712373814988586E-3</v>
      </c>
      <c r="E387">
        <v>280.64499999999998</v>
      </c>
      <c r="F387" s="2">
        <f>(int_data[[#This Row],[closes_ing]]-E386)/E386</f>
        <v>1.4809263819004518E-3</v>
      </c>
      <c r="G387" s="2">
        <f>LN(int_data[[#This Row],[closes_ing]]/E386)</f>
        <v>1.4798308918528493E-3</v>
      </c>
    </row>
    <row r="388" spans="1:7" x14ac:dyDescent="0.2">
      <c r="A388" s="1">
        <v>45313</v>
      </c>
      <c r="B388">
        <v>84.15</v>
      </c>
      <c r="C388" s="2">
        <f>(int_data[[#This Row],[closes_alior]]-B387)/B387</f>
        <v>1.0706638115632098E-3</v>
      </c>
      <c r="D388" s="2">
        <f>LN(int_data[[#This Row],[closes_alior]]/B387)</f>
        <v>1.070091059844386E-3</v>
      </c>
      <c r="E388">
        <v>281.06</v>
      </c>
      <c r="F388" s="2">
        <f>(int_data[[#This Row],[closes_ing]]-E387)/E387</f>
        <v>1.4787364820325339E-3</v>
      </c>
      <c r="G388" s="2">
        <f>LN(int_data[[#This Row],[closes_ing]]/E387)</f>
        <v>1.4776442278790398E-3</v>
      </c>
    </row>
    <row r="389" spans="1:7" x14ac:dyDescent="0.2">
      <c r="A389" s="1">
        <v>45314</v>
      </c>
      <c r="B389">
        <v>85.14</v>
      </c>
      <c r="C389" s="2">
        <f>(int_data[[#This Row],[closes_alior]]-B388)/B388</f>
        <v>1.176470588235288E-2</v>
      </c>
      <c r="D389" s="2">
        <f>LN(int_data[[#This Row],[closes_alior]]/B388)</f>
        <v>1.1696039763191236E-2</v>
      </c>
      <c r="E389">
        <v>283.99</v>
      </c>
      <c r="F389" s="2">
        <f>(int_data[[#This Row],[closes_ing]]-E388)/E388</f>
        <v>1.0424820323062715E-2</v>
      </c>
      <c r="G389" s="2">
        <f>LN(int_data[[#This Row],[closes_ing]]/E388)</f>
        <v>1.0370856601070323E-2</v>
      </c>
    </row>
    <row r="390" spans="1:7" x14ac:dyDescent="0.2">
      <c r="A390" s="1">
        <v>45315</v>
      </c>
      <c r="B390">
        <v>85.38</v>
      </c>
      <c r="C390" s="2">
        <f>(int_data[[#This Row],[closes_alior]]-B389)/B389</f>
        <v>2.8188865398167122E-3</v>
      </c>
      <c r="D390" s="2">
        <f>LN(int_data[[#This Row],[closes_alior]]/B389)</f>
        <v>2.8149209298095946E-3</v>
      </c>
      <c r="E390">
        <v>287.96499999999997</v>
      </c>
      <c r="F390" s="2">
        <f>(int_data[[#This Row],[closes_ing]]-E389)/E389</f>
        <v>1.399697172435637E-2</v>
      </c>
      <c r="G390" s="2">
        <f>LN(int_data[[#This Row],[closes_ing]]/E389)</f>
        <v>1.3899918699400202E-2</v>
      </c>
    </row>
    <row r="391" spans="1:7" x14ac:dyDescent="0.2">
      <c r="A391" s="1">
        <v>45316</v>
      </c>
      <c r="B391">
        <v>85.62</v>
      </c>
      <c r="C391" s="2">
        <f>(int_data[[#This Row],[closes_alior]]-B390)/B390</f>
        <v>2.8109627547436063E-3</v>
      </c>
      <c r="D391" s="2">
        <f>LN(int_data[[#This Row],[closes_alior]]/B390)</f>
        <v>2.807019386984232E-3</v>
      </c>
      <c r="E391">
        <v>291.94</v>
      </c>
      <c r="F391" s="2">
        <f>(int_data[[#This Row],[closes_ing]]-E390)/E390</f>
        <v>1.3803760873717373E-2</v>
      </c>
      <c r="G391" s="2">
        <f>LN(int_data[[#This Row],[closes_ing]]/E390)</f>
        <v>1.3709356729362646E-2</v>
      </c>
    </row>
    <row r="392" spans="1:7" x14ac:dyDescent="0.2">
      <c r="A392" s="1">
        <v>45317</v>
      </c>
      <c r="B392">
        <v>85.99</v>
      </c>
      <c r="C392" s="2">
        <f>(int_data[[#This Row],[closes_alior]]-B391)/B391</f>
        <v>4.3214202289183637E-3</v>
      </c>
      <c r="D392" s="2">
        <f>LN(int_data[[#This Row],[closes_alior]]/B391)</f>
        <v>4.3121097060049721E-3</v>
      </c>
      <c r="E392">
        <v>290.68</v>
      </c>
      <c r="F392" s="2">
        <f>(int_data[[#This Row],[closes_ing]]-E391)/E391</f>
        <v>-4.3159553332876308E-3</v>
      </c>
      <c r="G392" s="2">
        <f>LN(int_data[[#This Row],[closes_ing]]/E391)</f>
        <v>-4.325295953996844E-3</v>
      </c>
    </row>
    <row r="393" spans="1:7" x14ac:dyDescent="0.2">
      <c r="A393" s="1">
        <v>45318</v>
      </c>
      <c r="B393">
        <v>88.8</v>
      </c>
      <c r="C393" s="2">
        <f>(int_data[[#This Row],[closes_alior]]-B392)/B392</f>
        <v>3.2678218397488107E-2</v>
      </c>
      <c r="D393" s="2">
        <f>LN(int_data[[#This Row],[closes_alior]]/B392)</f>
        <v>3.215563957531923E-2</v>
      </c>
      <c r="E393">
        <v>284.41000000000003</v>
      </c>
      <c r="F393" s="2">
        <f>(int_data[[#This Row],[closes_ing]]-E392)/E392</f>
        <v>-2.1570111462776875E-2</v>
      </c>
      <c r="G393" s="2">
        <f>LN(int_data[[#This Row],[closes_ing]]/E392)</f>
        <v>-2.1806146693486399E-2</v>
      </c>
    </row>
    <row r="394" spans="1:7" x14ac:dyDescent="0.2">
      <c r="A394" s="1">
        <v>45319</v>
      </c>
      <c r="B394">
        <v>91.93</v>
      </c>
      <c r="C394" s="2">
        <f>(int_data[[#This Row],[closes_alior]]-B393)/B393</f>
        <v>3.524774774774786E-2</v>
      </c>
      <c r="D394" s="2">
        <f>LN(int_data[[#This Row],[closes_alior]]/B393)</f>
        <v>3.4640767877538892E-2</v>
      </c>
      <c r="E394">
        <v>288.58999999999997</v>
      </c>
      <c r="F394" s="2">
        <f>(int_data[[#This Row],[closes_ing]]-E393)/E393</f>
        <v>1.4697092226011567E-2</v>
      </c>
      <c r="G394" s="2">
        <f>LN(int_data[[#This Row],[closes_ing]]/E393)</f>
        <v>1.4590136649845395E-2</v>
      </c>
    </row>
    <row r="395" spans="1:7" x14ac:dyDescent="0.2">
      <c r="A395" s="1">
        <v>45320</v>
      </c>
      <c r="B395">
        <v>93.01</v>
      </c>
      <c r="C395" s="2">
        <f>(int_data[[#This Row],[closes_alior]]-B394)/B394</f>
        <v>1.1748069183074059E-2</v>
      </c>
      <c r="D395" s="2">
        <f>LN(int_data[[#This Row],[closes_alior]]/B394)</f>
        <v>1.1679596378712274E-2</v>
      </c>
      <c r="E395">
        <v>292.36</v>
      </c>
      <c r="F395" s="2">
        <f>(int_data[[#This Row],[closes_ing]]-E394)/E394</f>
        <v>1.3063515714335351E-2</v>
      </c>
      <c r="G395" s="2">
        <f>LN(int_data[[#This Row],[closes_ing]]/E394)</f>
        <v>1.2978923907396881E-2</v>
      </c>
    </row>
    <row r="396" spans="1:7" x14ac:dyDescent="0.2">
      <c r="A396" s="1">
        <v>45321</v>
      </c>
      <c r="B396">
        <v>89.58</v>
      </c>
      <c r="C396" s="2">
        <f>(int_data[[#This Row],[closes_alior]]-B395)/B395</f>
        <v>-3.6877755080098988E-2</v>
      </c>
      <c r="D396" s="2">
        <f>LN(int_data[[#This Row],[closes_alior]]/B395)</f>
        <v>-3.7574933475221603E-2</v>
      </c>
      <c r="E396">
        <v>289.43</v>
      </c>
      <c r="F396" s="2">
        <f>(int_data[[#This Row],[closes_ing]]-E395)/E395</f>
        <v>-1.0021890819537579E-2</v>
      </c>
      <c r="G396" s="2">
        <f>LN(int_data[[#This Row],[closes_ing]]/E395)</f>
        <v>-1.0072448036900761E-2</v>
      </c>
    </row>
    <row r="397" spans="1:7" x14ac:dyDescent="0.2">
      <c r="A397" s="1">
        <v>45322</v>
      </c>
      <c r="B397">
        <v>91.8</v>
      </c>
      <c r="C397" s="2">
        <f>(int_data[[#This Row],[closes_alior]]-B396)/B396</f>
        <v>2.4782317481580697E-2</v>
      </c>
      <c r="D397" s="2">
        <f>LN(int_data[[#This Row],[closes_alior]]/B396)</f>
        <v>2.4480216847290716E-2</v>
      </c>
      <c r="E397">
        <v>292.36</v>
      </c>
      <c r="F397" s="2">
        <f>(int_data[[#This Row],[closes_ing]]-E396)/E396</f>
        <v>1.0123345886742931E-2</v>
      </c>
      <c r="G397" s="2">
        <f>LN(int_data[[#This Row],[closes_ing]]/E396)</f>
        <v>1.0072448036900789E-2</v>
      </c>
    </row>
    <row r="398" spans="1:7" x14ac:dyDescent="0.2">
      <c r="A398" s="1">
        <v>45323</v>
      </c>
      <c r="B398">
        <v>90.08</v>
      </c>
      <c r="C398" s="2">
        <f>(int_data[[#This Row],[closes_alior]]-B397)/B397</f>
        <v>-1.8736383442265782E-2</v>
      </c>
      <c r="D398" s="2">
        <f>LN(int_data[[#This Row],[closes_alior]]/B397)</f>
        <v>-1.8914133235064537E-2</v>
      </c>
      <c r="E398">
        <v>290.89499999999998</v>
      </c>
      <c r="F398" s="2">
        <f>(int_data[[#This Row],[closes_ing]]-E397)/E397</f>
        <v>-5.0109454097688865E-3</v>
      </c>
      <c r="G398" s="2">
        <f>LN(int_data[[#This Row],[closes_ing]]/E397)</f>
        <v>-5.0235422958772704E-3</v>
      </c>
    </row>
    <row r="399" spans="1:7" x14ac:dyDescent="0.2">
      <c r="A399" s="1">
        <v>45324</v>
      </c>
      <c r="B399">
        <v>88.36</v>
      </c>
      <c r="C399" s="2">
        <f>(int_data[[#This Row],[closes_alior]]-B398)/B398</f>
        <v>-1.909413854351686E-2</v>
      </c>
      <c r="D399" s="2">
        <f>LN(int_data[[#This Row],[closes_alior]]/B398)</f>
        <v>-1.9278785839463779E-2</v>
      </c>
      <c r="E399">
        <v>289.43</v>
      </c>
      <c r="F399" s="2">
        <f>(int_data[[#This Row],[closes_ing]]-E398)/E398</f>
        <v>-5.0361814400384161E-3</v>
      </c>
      <c r="G399" s="2">
        <f>LN(int_data[[#This Row],[closes_ing]]/E398)</f>
        <v>-5.0489057410234824E-3</v>
      </c>
    </row>
    <row r="400" spans="1:7" x14ac:dyDescent="0.2">
      <c r="A400" s="1">
        <v>45325</v>
      </c>
      <c r="B400">
        <v>87.36</v>
      </c>
      <c r="C400" s="2">
        <f>(int_data[[#This Row],[closes_alior]]-B399)/B399</f>
        <v>-1.1317338162064282E-2</v>
      </c>
      <c r="D400" s="2">
        <f>LN(int_data[[#This Row],[closes_alior]]/B399)</f>
        <v>-1.1381866555321491E-2</v>
      </c>
      <c r="E400">
        <v>286.92</v>
      </c>
      <c r="F400" s="2">
        <f>(int_data[[#This Row],[closes_ing]]-E399)/E399</f>
        <v>-8.6722178074145426E-3</v>
      </c>
      <c r="G400" s="2">
        <f>LN(int_data[[#This Row],[closes_ing]]/E399)</f>
        <v>-8.7100403170564823E-3</v>
      </c>
    </row>
    <row r="401" spans="1:7" x14ac:dyDescent="0.2">
      <c r="A401" s="1">
        <v>45326</v>
      </c>
      <c r="B401">
        <v>87.6</v>
      </c>
      <c r="C401" s="2">
        <f>(int_data[[#This Row],[closes_alior]]-B400)/B400</f>
        <v>2.7472527472526889E-3</v>
      </c>
      <c r="D401" s="2">
        <f>LN(int_data[[#This Row],[closes_alior]]/B400)</f>
        <v>2.7434859457508339E-3</v>
      </c>
      <c r="E401">
        <v>289.01</v>
      </c>
      <c r="F401" s="2">
        <f>(int_data[[#This Row],[closes_ing]]-E400)/E400</f>
        <v>7.2842604210231945E-3</v>
      </c>
      <c r="G401" s="2">
        <f>LN(int_data[[#This Row],[closes_ing]]/E400)</f>
        <v>7.2578583316850057E-3</v>
      </c>
    </row>
    <row r="402" spans="1:7" x14ac:dyDescent="0.2">
      <c r="A402" s="1">
        <v>45327</v>
      </c>
      <c r="B402">
        <v>87.84</v>
      </c>
      <c r="C402" s="2">
        <f>(int_data[[#This Row],[closes_alior]]-B401)/B401</f>
        <v>2.7397260273973644E-3</v>
      </c>
      <c r="D402" s="2">
        <f>LN(int_data[[#This Row],[closes_alior]]/B401)</f>
        <v>2.7359798188748455E-3</v>
      </c>
      <c r="E402">
        <v>291.10000000000002</v>
      </c>
      <c r="F402" s="2">
        <f>(int_data[[#This Row],[closes_ing]]-E401)/E401</f>
        <v>7.2315836822256386E-3</v>
      </c>
      <c r="G402" s="2">
        <f>LN(int_data[[#This Row],[closes_ing]]/E401)</f>
        <v>7.2055611616589615E-3</v>
      </c>
    </row>
    <row r="403" spans="1:7" x14ac:dyDescent="0.2">
      <c r="A403" s="1">
        <v>45328</v>
      </c>
      <c r="B403">
        <v>86.86</v>
      </c>
      <c r="C403" s="2">
        <f>(int_data[[#This Row],[closes_alior]]-B402)/B402</f>
        <v>-1.1156648451730464E-2</v>
      </c>
      <c r="D403" s="2">
        <f>LN(int_data[[#This Row],[closes_alior]]/B402)</f>
        <v>-1.1219350654544744E-2</v>
      </c>
      <c r="E403">
        <v>277.68</v>
      </c>
      <c r="F403" s="2">
        <f>(int_data[[#This Row],[closes_ing]]-E402)/E402</f>
        <v>-4.6100996221229866E-2</v>
      </c>
      <c r="G403" s="2">
        <f>LN(int_data[[#This Row],[closes_ing]]/E402)</f>
        <v>-4.7197479198046774E-2</v>
      </c>
    </row>
    <row r="404" spans="1:7" x14ac:dyDescent="0.2">
      <c r="A404" s="1">
        <v>45329</v>
      </c>
      <c r="B404">
        <v>88.06</v>
      </c>
      <c r="C404" s="2">
        <f>(int_data[[#This Row],[closes_alior]]-B403)/B403</f>
        <v>1.3815335021874313E-2</v>
      </c>
      <c r="D404" s="2">
        <f>LN(int_data[[#This Row],[closes_alior]]/B403)</f>
        <v>1.3720773220932049E-2</v>
      </c>
      <c r="E404">
        <v>279.52999999999997</v>
      </c>
      <c r="F404" s="2">
        <f>(int_data[[#This Row],[closes_ing]]-E403)/E403</f>
        <v>6.6623451454910897E-3</v>
      </c>
      <c r="G404" s="2">
        <f>LN(int_data[[#This Row],[closes_ing]]/E403)</f>
        <v>6.6402498076239391E-3</v>
      </c>
    </row>
    <row r="405" spans="1:7" x14ac:dyDescent="0.2">
      <c r="A405" s="1">
        <v>45330</v>
      </c>
      <c r="B405">
        <v>90.84</v>
      </c>
      <c r="C405" s="2">
        <f>(int_data[[#This Row],[closes_alior]]-B404)/B404</f>
        <v>3.1569384510560995E-2</v>
      </c>
      <c r="D405" s="2">
        <f>LN(int_data[[#This Row],[closes_alior]]/B404)</f>
        <v>3.1081316909749874E-2</v>
      </c>
      <c r="E405">
        <v>280.45999999999998</v>
      </c>
      <c r="F405" s="2">
        <f>(int_data[[#This Row],[closes_ing]]-E404)/E404</f>
        <v>3.327013200729821E-3</v>
      </c>
      <c r="G405" s="2">
        <f>LN(int_data[[#This Row],[closes_ing]]/E404)</f>
        <v>3.3214909373499046E-3</v>
      </c>
    </row>
    <row r="406" spans="1:7" x14ac:dyDescent="0.2">
      <c r="A406" s="1">
        <v>45331</v>
      </c>
      <c r="B406">
        <v>90.32</v>
      </c>
      <c r="C406" s="2">
        <f>(int_data[[#This Row],[closes_alior]]-B405)/B405</f>
        <v>-5.7243505063849648E-3</v>
      </c>
      <c r="D406" s="2">
        <f>LN(int_data[[#This Row],[closes_alior]]/B405)</f>
        <v>-5.740797395951268E-3</v>
      </c>
      <c r="E406">
        <v>280.45999999999998</v>
      </c>
      <c r="F406" s="2">
        <f>(int_data[[#This Row],[closes_ing]]-E405)/E405</f>
        <v>0</v>
      </c>
      <c r="G406" s="2">
        <f>LN(int_data[[#This Row],[closes_ing]]/E405)</f>
        <v>0</v>
      </c>
    </row>
    <row r="407" spans="1:7" x14ac:dyDescent="0.2">
      <c r="A407" s="1">
        <v>45332</v>
      </c>
      <c r="B407">
        <v>92.01</v>
      </c>
      <c r="C407" s="2">
        <f>(int_data[[#This Row],[closes_alior]]-B406)/B406</f>
        <v>1.8711248892825643E-2</v>
      </c>
      <c r="D407" s="2">
        <f>LN(int_data[[#This Row],[closes_alior]]/B406)</f>
        <v>1.8538346952863372E-2</v>
      </c>
      <c r="E407">
        <v>286.01</v>
      </c>
      <c r="F407" s="2">
        <f>(int_data[[#This Row],[closes_ing]]-E406)/E406</f>
        <v>1.9788918205804792E-2</v>
      </c>
      <c r="G407" s="2">
        <f>LN(int_data[[#This Row],[closes_ing]]/E406)</f>
        <v>1.9595662945050416E-2</v>
      </c>
    </row>
    <row r="408" spans="1:7" x14ac:dyDescent="0.2">
      <c r="A408" s="1">
        <v>45333</v>
      </c>
      <c r="B408">
        <v>89.4</v>
      </c>
      <c r="C408" s="2">
        <f>(int_data[[#This Row],[closes_alior]]-B407)/B407</f>
        <v>-2.8366481904140848E-2</v>
      </c>
      <c r="D408" s="2">
        <f>LN(int_data[[#This Row],[closes_alior]]/B407)</f>
        <v>-2.877658461480136E-2</v>
      </c>
      <c r="E408">
        <v>294.33999999999997</v>
      </c>
      <c r="F408" s="2">
        <f>(int_data[[#This Row],[closes_ing]]-E407)/E407</f>
        <v>2.912485577427357E-2</v>
      </c>
      <c r="G408" s="2">
        <f>LN(int_data[[#This Row],[closes_ing]]/E407)</f>
        <v>2.8708786492411736E-2</v>
      </c>
    </row>
    <row r="409" spans="1:7" x14ac:dyDescent="0.2">
      <c r="A409" s="1">
        <v>45334</v>
      </c>
      <c r="B409">
        <v>89.534999999999997</v>
      </c>
      <c r="C409" s="2">
        <f>(int_data[[#This Row],[closes_alior]]-B408)/B408</f>
        <v>1.510067114093858E-3</v>
      </c>
      <c r="D409" s="2">
        <f>LN(int_data[[#This Row],[closes_alior]]/B408)</f>
        <v>1.5089281092544166E-3</v>
      </c>
      <c r="E409">
        <v>291.33</v>
      </c>
      <c r="F409" s="2">
        <f>(int_data[[#This Row],[closes_ing]]-E408)/E408</f>
        <v>-1.0226268940680815E-2</v>
      </c>
      <c r="G409" s="2">
        <f>LN(int_data[[#This Row],[closes_ing]]/E408)</f>
        <v>-1.0278916461594387E-2</v>
      </c>
    </row>
    <row r="410" spans="1:7" x14ac:dyDescent="0.2">
      <c r="A410" s="1">
        <v>45335</v>
      </c>
      <c r="B410">
        <v>89.67</v>
      </c>
      <c r="C410" s="2">
        <f>(int_data[[#This Row],[closes_alior]]-B409)/B409</f>
        <v>1.5077902496231097E-3</v>
      </c>
      <c r="D410" s="2">
        <f>LN(int_data[[#This Row],[closes_alior]]/B409)</f>
        <v>1.5066546752334758E-3</v>
      </c>
      <c r="E410">
        <v>288.32</v>
      </c>
      <c r="F410" s="2">
        <f>(int_data[[#This Row],[closes_ing]]-E409)/E409</f>
        <v>-1.0331925994576566E-2</v>
      </c>
      <c r="G410" s="2">
        <f>LN(int_data[[#This Row],[closes_ing]]/E409)</f>
        <v>-1.0385670854399226E-2</v>
      </c>
    </row>
    <row r="411" spans="1:7" x14ac:dyDescent="0.2">
      <c r="A411" s="1">
        <v>45336</v>
      </c>
      <c r="B411">
        <v>88.32</v>
      </c>
      <c r="C411" s="2">
        <f>(int_data[[#This Row],[closes_alior]]-B410)/B410</f>
        <v>-1.505520240883248E-2</v>
      </c>
      <c r="D411" s="2">
        <f>LN(int_data[[#This Row],[closes_alior]]/B410)</f>
        <v>-1.5169682435171132E-2</v>
      </c>
      <c r="E411">
        <v>290.64</v>
      </c>
      <c r="F411" s="2">
        <f>(int_data[[#This Row],[closes_ing]]-E410)/E410</f>
        <v>8.0466148723640166E-3</v>
      </c>
      <c r="G411" s="2">
        <f>LN(int_data[[#This Row],[closes_ing]]/E410)</f>
        <v>8.0144134929732817E-3</v>
      </c>
    </row>
    <row r="412" spans="1:7" x14ac:dyDescent="0.2">
      <c r="A412" s="1">
        <v>45337</v>
      </c>
      <c r="B412">
        <v>88.405000000000001</v>
      </c>
      <c r="C412" s="2">
        <f>(int_data[[#This Row],[closes_alior]]-B411)/B411</f>
        <v>9.6240942028994522E-4</v>
      </c>
      <c r="D412" s="2">
        <f>LN(int_data[[#This Row],[closes_alior]]/B411)</f>
        <v>9.6194660126767907E-4</v>
      </c>
      <c r="E412">
        <v>289.71499999999997</v>
      </c>
      <c r="F412" s="2">
        <f>(int_data[[#This Row],[closes_ing]]-E411)/E411</f>
        <v>-3.1826314340765599E-3</v>
      </c>
      <c r="G412" s="2">
        <f>LN(int_data[[#This Row],[closes_ing]]/E411)</f>
        <v>-3.1877067769906899E-3</v>
      </c>
    </row>
    <row r="413" spans="1:7" x14ac:dyDescent="0.2">
      <c r="A413" s="1">
        <v>45338</v>
      </c>
      <c r="B413">
        <v>88.49</v>
      </c>
      <c r="C413" s="2">
        <f>(int_data[[#This Row],[closes_alior]]-B412)/B412</f>
        <v>9.6148407895473953E-4</v>
      </c>
      <c r="D413" s="2">
        <f>LN(int_data[[#This Row],[closes_alior]]/B412)</f>
        <v>9.6102214920600103E-4</v>
      </c>
      <c r="E413">
        <v>288.79000000000002</v>
      </c>
      <c r="F413" s="2">
        <f>(int_data[[#This Row],[closes_ing]]-E412)/E412</f>
        <v>-3.1927929171770694E-3</v>
      </c>
      <c r="G413" s="2">
        <f>LN(int_data[[#This Row],[closes_ing]]/E412)</f>
        <v>-3.1979007555608969E-3</v>
      </c>
    </row>
    <row r="414" spans="1:7" x14ac:dyDescent="0.2">
      <c r="A414" s="1">
        <v>45339</v>
      </c>
      <c r="B414">
        <v>91.06</v>
      </c>
      <c r="C414" s="2">
        <f>(int_data[[#This Row],[closes_alior]]-B413)/B413</f>
        <v>2.9042829698271076E-2</v>
      </c>
      <c r="D414" s="2">
        <f>LN(int_data[[#This Row],[closes_alior]]/B413)</f>
        <v>2.8629078627377208E-2</v>
      </c>
      <c r="E414">
        <v>295.73</v>
      </c>
      <c r="F414" s="2">
        <f>(int_data[[#This Row],[closes_ing]]-E413)/E413</f>
        <v>2.4031303022957848E-2</v>
      </c>
      <c r="G414" s="2">
        <f>LN(int_data[[#This Row],[closes_ing]]/E413)</f>
        <v>2.3747095508439908E-2</v>
      </c>
    </row>
    <row r="415" spans="1:7" x14ac:dyDescent="0.2">
      <c r="A415" s="1">
        <v>45340</v>
      </c>
      <c r="B415">
        <v>90.23</v>
      </c>
      <c r="C415" s="2">
        <f>(int_data[[#This Row],[closes_alior]]-B414)/B414</f>
        <v>-9.1148693169338709E-3</v>
      </c>
      <c r="D415" s="2">
        <f>LN(int_data[[#This Row],[closes_alior]]/B414)</f>
        <v>-9.1566639002266491E-3</v>
      </c>
      <c r="E415">
        <v>294.33999999999997</v>
      </c>
      <c r="F415" s="2">
        <f>(int_data[[#This Row],[closes_ing]]-E414)/E414</f>
        <v>-4.7002333209347821E-3</v>
      </c>
      <c r="G415" s="2">
        <f>LN(int_data[[#This Row],[closes_ing]]/E414)</f>
        <v>-4.7113141528682869E-3</v>
      </c>
    </row>
    <row r="416" spans="1:7" x14ac:dyDescent="0.2">
      <c r="A416" s="1">
        <v>45341</v>
      </c>
      <c r="B416">
        <v>90.32</v>
      </c>
      <c r="C416" s="2">
        <f>(int_data[[#This Row],[closes_alior]]-B415)/B415</f>
        <v>9.9745095866107933E-4</v>
      </c>
      <c r="D416" s="2">
        <f>LN(int_data[[#This Row],[closes_alior]]/B415)</f>
        <v>9.9695383499704858E-4</v>
      </c>
      <c r="E416">
        <v>293.41000000000003</v>
      </c>
      <c r="F416" s="2">
        <f>(int_data[[#This Row],[closes_ing]]-E415)/E415</f>
        <v>-3.1596113338314535E-3</v>
      </c>
      <c r="G416" s="2">
        <f>LN(int_data[[#This Row],[closes_ing]]/E415)</f>
        <v>-3.1646134449855885E-3</v>
      </c>
    </row>
    <row r="417" spans="1:7" x14ac:dyDescent="0.2">
      <c r="A417" s="1">
        <v>45342</v>
      </c>
      <c r="B417">
        <v>93.36</v>
      </c>
      <c r="C417" s="2">
        <f>(int_data[[#This Row],[closes_alior]]-B416)/B416</f>
        <v>3.3658104517271997E-2</v>
      </c>
      <c r="D417" s="2">
        <f>LN(int_data[[#This Row],[closes_alior]]/B416)</f>
        <v>3.3104068136893962E-2</v>
      </c>
      <c r="E417">
        <v>281.83999999999997</v>
      </c>
      <c r="F417" s="2">
        <f>(int_data[[#This Row],[closes_ing]]-E416)/E416</f>
        <v>-3.9432875498449434E-2</v>
      </c>
      <c r="G417" s="2">
        <f>LN(int_data[[#This Row],[closes_ing]]/E416)</f>
        <v>-4.0231414257999032E-2</v>
      </c>
    </row>
    <row r="418" spans="1:7" x14ac:dyDescent="0.2">
      <c r="A418" s="1">
        <v>45343</v>
      </c>
      <c r="B418">
        <v>90.27</v>
      </c>
      <c r="C418" s="2">
        <f>(int_data[[#This Row],[closes_alior]]-B417)/B417</f>
        <v>-3.3097686375321372E-2</v>
      </c>
      <c r="D418" s="2">
        <f>LN(int_data[[#This Row],[closes_alior]]/B417)</f>
        <v>-3.3657808668237067E-2</v>
      </c>
      <c r="E418">
        <v>286.01</v>
      </c>
      <c r="F418" s="2">
        <f>(int_data[[#This Row],[closes_ing]]-E417)/E417</f>
        <v>1.4795628725518083E-2</v>
      </c>
      <c r="G418" s="2">
        <f>LN(int_data[[#This Row],[closes_ing]]/E417)</f>
        <v>1.4687241210572802E-2</v>
      </c>
    </row>
    <row r="419" spans="1:7" x14ac:dyDescent="0.2">
      <c r="A419" s="1">
        <v>45344</v>
      </c>
      <c r="B419">
        <v>88.45</v>
      </c>
      <c r="C419" s="2">
        <f>(int_data[[#This Row],[closes_alior]]-B418)/B418</f>
        <v>-2.016173701118858E-2</v>
      </c>
      <c r="D419" s="2">
        <f>LN(int_data[[#This Row],[closes_alior]]/B418)</f>
        <v>-2.0367758704269226E-2</v>
      </c>
      <c r="E419">
        <v>278.60000000000002</v>
      </c>
      <c r="F419" s="2">
        <f>(int_data[[#This Row],[closes_ing]]-E418)/E418</f>
        <v>-2.5908185028495397E-2</v>
      </c>
      <c r="G419" s="2">
        <f>LN(int_data[[#This Row],[closes_ing]]/E418)</f>
        <v>-2.6249713897849546E-2</v>
      </c>
    </row>
    <row r="420" spans="1:7" x14ac:dyDescent="0.2">
      <c r="A420" s="1">
        <v>45345</v>
      </c>
      <c r="B420">
        <v>89.15</v>
      </c>
      <c r="C420" s="2">
        <f>(int_data[[#This Row],[closes_alior]]-B419)/B419</f>
        <v>7.9140757490107731E-3</v>
      </c>
      <c r="D420" s="2">
        <f>LN(int_data[[#This Row],[closes_alior]]/B419)</f>
        <v>7.8829237033552092E-3</v>
      </c>
      <c r="E420">
        <v>279.52999999999997</v>
      </c>
      <c r="F420" s="2">
        <f>(int_data[[#This Row],[closes_ing]]-E419)/E419</f>
        <v>3.338119167264716E-3</v>
      </c>
      <c r="G420" s="2">
        <f>LN(int_data[[#This Row],[closes_ing]]/E419)</f>
        <v>3.3325600154495189E-3</v>
      </c>
    </row>
    <row r="421" spans="1:7" x14ac:dyDescent="0.2">
      <c r="A421" s="1">
        <v>45346</v>
      </c>
      <c r="B421">
        <v>89.85</v>
      </c>
      <c r="C421" s="2">
        <f>(int_data[[#This Row],[closes_alior]]-B420)/B420</f>
        <v>7.8519349411103594E-3</v>
      </c>
      <c r="D421" s="2">
        <f>LN(int_data[[#This Row],[closes_alior]]/B420)</f>
        <v>7.8212689204185063E-3</v>
      </c>
      <c r="E421">
        <v>280.45999999999998</v>
      </c>
      <c r="F421" s="2">
        <f>(int_data[[#This Row],[closes_ing]]-E420)/E420</f>
        <v>3.327013200729821E-3</v>
      </c>
      <c r="G421" s="2">
        <f>LN(int_data[[#This Row],[closes_ing]]/E420)</f>
        <v>3.3214909373499046E-3</v>
      </c>
    </row>
    <row r="422" spans="1:7" x14ac:dyDescent="0.2">
      <c r="A422" s="1">
        <v>45347</v>
      </c>
      <c r="B422">
        <v>85.5</v>
      </c>
      <c r="C422" s="2">
        <f>(int_data[[#This Row],[closes_alior]]-B421)/B421</f>
        <v>-4.8414023372287084E-2</v>
      </c>
      <c r="D422" s="2">
        <f>LN(int_data[[#This Row],[closes_alior]]/B421)</f>
        <v>-4.9625237286853426E-2</v>
      </c>
      <c r="E422">
        <v>274.89999999999998</v>
      </c>
      <c r="F422" s="2">
        <f>(int_data[[#This Row],[closes_ing]]-E421)/E421</f>
        <v>-1.9824573914283685E-2</v>
      </c>
      <c r="G422" s="2">
        <f>LN(int_data[[#This Row],[closes_ing]]/E421)</f>
        <v>-2.0023717127304747E-2</v>
      </c>
    </row>
    <row r="423" spans="1:7" x14ac:dyDescent="0.2">
      <c r="A423" s="1">
        <v>45348</v>
      </c>
      <c r="B423">
        <v>86.594999999999999</v>
      </c>
      <c r="C423" s="2">
        <f>(int_data[[#This Row],[closes_alior]]-B422)/B422</f>
        <v>1.2807017543859637E-2</v>
      </c>
      <c r="D423" s="2">
        <f>LN(int_data[[#This Row],[closes_alior]]/B422)</f>
        <v>1.2725701238292119E-2</v>
      </c>
      <c r="E423">
        <v>276.29000000000002</v>
      </c>
      <c r="F423" s="2">
        <f>(int_data[[#This Row],[closes_ing]]-E422)/E422</f>
        <v>5.0563841396873161E-3</v>
      </c>
      <c r="G423" s="2">
        <f>LN(int_data[[#This Row],[closes_ing]]/E422)</f>
        <v>5.0436435588692031E-3</v>
      </c>
    </row>
    <row r="424" spans="1:7" x14ac:dyDescent="0.2">
      <c r="A424" s="1">
        <v>45349</v>
      </c>
      <c r="B424">
        <v>87.69</v>
      </c>
      <c r="C424" s="2">
        <f>(int_data[[#This Row],[closes_alior]]-B423)/B423</f>
        <v>1.264507188636756E-2</v>
      </c>
      <c r="D424" s="2">
        <f>LN(int_data[[#This Row],[closes_alior]]/B423)</f>
        <v>1.2565790610257642E-2</v>
      </c>
      <c r="E424">
        <v>277.68</v>
      </c>
      <c r="F424" s="2">
        <f>(int_data[[#This Row],[closes_ing]]-E423)/E423</f>
        <v>5.0309457454123796E-3</v>
      </c>
      <c r="G424" s="2">
        <f>LN(int_data[[#This Row],[closes_ing]]/E423)</f>
        <v>5.0183328234616447E-3</v>
      </c>
    </row>
    <row r="425" spans="1:7" x14ac:dyDescent="0.2">
      <c r="A425" s="1">
        <v>45350</v>
      </c>
      <c r="B425">
        <v>87.1</v>
      </c>
      <c r="C425" s="2">
        <f>(int_data[[#This Row],[closes_alior]]-B424)/B424</f>
        <v>-6.7282472345763875E-3</v>
      </c>
      <c r="D425" s="2">
        <f>LN(int_data[[#This Row],[closes_alior]]/B424)</f>
        <v>-6.7509839328072363E-3</v>
      </c>
      <c r="E425">
        <v>273.05</v>
      </c>
      <c r="F425" s="2">
        <f>(int_data[[#This Row],[closes_ing]]-E424)/E424</f>
        <v>-1.6673869201959072E-2</v>
      </c>
      <c r="G425" s="2">
        <f>LN(int_data[[#This Row],[closes_ing]]/E424)</f>
        <v>-1.6814442955368158E-2</v>
      </c>
    </row>
    <row r="426" spans="1:7" x14ac:dyDescent="0.2">
      <c r="A426" s="1">
        <v>45351</v>
      </c>
      <c r="B426">
        <v>87.117012987012998</v>
      </c>
      <c r="C426" s="2">
        <f>(int_data[[#This Row],[closes_alior]]-B425)/B425</f>
        <v>1.9532706099889809E-4</v>
      </c>
      <c r="D426" s="2">
        <f>LN(int_data[[#This Row],[closes_alior]]/B425)</f>
        <v>1.953079871522348E-4</v>
      </c>
      <c r="E426">
        <v>273.06805194805202</v>
      </c>
      <c r="F426" s="2">
        <f>(int_data[[#This Row],[closes_ing]]-E425)/E425</f>
        <v>6.6112243369363555E-5</v>
      </c>
      <c r="G426" s="2">
        <f>LN(int_data[[#This Row],[closes_ing]]/E425)</f>
        <v>6.6110058051342585E-5</v>
      </c>
    </row>
    <row r="427" spans="1:7" x14ac:dyDescent="0.2">
      <c r="A427" s="1">
        <v>45352</v>
      </c>
      <c r="B427">
        <v>87.134025974026002</v>
      </c>
      <c r="C427" s="2">
        <f>(int_data[[#This Row],[closes_alior]]-B426)/B426</f>
        <v>1.9528891578893137E-4</v>
      </c>
      <c r="D427" s="2">
        <f>LN(int_data[[#This Row],[closes_alior]]/B426)</f>
        <v>1.9526984939096458E-4</v>
      </c>
      <c r="E427">
        <v>273.08610389610402</v>
      </c>
      <c r="F427" s="2">
        <f>(int_data[[#This Row],[closes_ing]]-E426)/E426</f>
        <v>6.6107872829586408E-5</v>
      </c>
      <c r="G427" s="2">
        <f>LN(int_data[[#This Row],[closes_ing]]/E426)</f>
        <v>6.6105687800552195E-5</v>
      </c>
    </row>
    <row r="428" spans="1:7" x14ac:dyDescent="0.2">
      <c r="A428" s="1">
        <v>45353</v>
      </c>
      <c r="B428">
        <v>87.151038961038907</v>
      </c>
      <c r="C428" s="2">
        <f>(int_data[[#This Row],[closes_alior]]-B427)/B427</f>
        <v>1.9525078547358743E-4</v>
      </c>
      <c r="D428" s="2">
        <f>LN(int_data[[#This Row],[closes_alior]]/B427)</f>
        <v>1.9523172651986231E-4</v>
      </c>
      <c r="E428">
        <v>273.10415584415603</v>
      </c>
      <c r="F428" s="2">
        <f>(int_data[[#This Row],[closes_ing]]-E427)/E427</f>
        <v>6.610350286762524E-5</v>
      </c>
      <c r="G428" s="2">
        <f>LN(int_data[[#This Row],[closes_ing]]/E427)</f>
        <v>6.610131812746458E-5</v>
      </c>
    </row>
    <row r="429" spans="1:7" x14ac:dyDescent="0.2">
      <c r="A429" s="1">
        <v>45354</v>
      </c>
      <c r="B429">
        <v>87.168051948051897</v>
      </c>
      <c r="C429" s="2">
        <f>(int_data[[#This Row],[closes_alior]]-B428)/B428</f>
        <v>1.9521267004740482E-4</v>
      </c>
      <c r="D429" s="2">
        <f>LN(int_data[[#This Row],[closes_alior]]/B428)</f>
        <v>1.9519361853337971E-4</v>
      </c>
      <c r="E429">
        <v>273.12220779220797</v>
      </c>
      <c r="F429" s="2">
        <f>(int_data[[#This Row],[closes_ing]]-E428)/E428</f>
        <v>6.609913348315734E-5</v>
      </c>
      <c r="G429" s="2">
        <f>LN(int_data[[#This Row],[closes_ing]]/E428)</f>
        <v>6.6096949031635693E-5</v>
      </c>
    </row>
    <row r="430" spans="1:7" x14ac:dyDescent="0.2">
      <c r="A430" s="1">
        <v>45355</v>
      </c>
      <c r="B430">
        <v>87.185064935064901</v>
      </c>
      <c r="C430" s="2">
        <f>(int_data[[#This Row],[closes_alior]]-B429)/B429</f>
        <v>1.951745694987307E-4</v>
      </c>
      <c r="D430" s="2">
        <f>LN(int_data[[#This Row],[closes_alior]]/B429)</f>
        <v>1.9515552542041835E-4</v>
      </c>
      <c r="E430">
        <v>273.14025974025998</v>
      </c>
      <c r="F430" s="2">
        <f>(int_data[[#This Row],[closes_ing]]-E429)/E429</f>
        <v>6.609476467669258E-5</v>
      </c>
      <c r="G430" s="2">
        <f>LN(int_data[[#This Row],[closes_ing]]/E429)</f>
        <v>6.6092580513953643E-5</v>
      </c>
    </row>
    <row r="431" spans="1:7" x14ac:dyDescent="0.2">
      <c r="A431" s="1">
        <v>45356</v>
      </c>
      <c r="B431">
        <v>87.202077922077905</v>
      </c>
      <c r="C431" s="2">
        <f>(int_data[[#This Row],[closes_alior]]-B430)/B430</f>
        <v>1.9513648381950773E-4</v>
      </c>
      <c r="D431" s="2">
        <f>LN(int_data[[#This Row],[closes_alior]]/B430)</f>
        <v>1.9511744717232193E-4</v>
      </c>
      <c r="E431">
        <v>273.15831168831198</v>
      </c>
      <c r="F431" s="2">
        <f>(int_data[[#This Row],[closes_ing]]-E430)/E430</f>
        <v>6.6090396447491994E-5</v>
      </c>
      <c r="G431" s="2">
        <f>LN(int_data[[#This Row],[closes_ing]]/E430)</f>
        <v>6.6088212573530333E-5</v>
      </c>
    </row>
    <row r="432" spans="1:7" x14ac:dyDescent="0.2">
      <c r="A432" s="1">
        <v>45357</v>
      </c>
      <c r="B432">
        <v>87.219090909090895</v>
      </c>
      <c r="C432" s="2">
        <f>(int_data[[#This Row],[closes_alior]]-B431)/B431</f>
        <v>1.9509841300103294E-4</v>
      </c>
      <c r="D432" s="2">
        <f>LN(int_data[[#This Row],[closes_alior]]/B431)</f>
        <v>1.9507938378065607E-4</v>
      </c>
      <c r="E432">
        <v>273.17636363636399</v>
      </c>
      <c r="F432" s="2">
        <f>(int_data[[#This Row],[closes_ing]]-E431)/E431</f>
        <v>6.6086028795649246E-5</v>
      </c>
      <c r="G432" s="2">
        <f>LN(int_data[[#This Row],[closes_ing]]/E431)</f>
        <v>6.6083845210143747E-5</v>
      </c>
    </row>
    <row r="433" spans="1:7" x14ac:dyDescent="0.2">
      <c r="A433" s="1">
        <v>45358</v>
      </c>
      <c r="B433">
        <v>87.236103896103899</v>
      </c>
      <c r="C433" s="2">
        <f>(int_data[[#This Row],[closes_alior]]-B432)/B432</f>
        <v>1.9506035703509893E-4</v>
      </c>
      <c r="D433" s="2">
        <f>LN(int_data[[#This Row],[closes_alior]]/B432)</f>
        <v>1.9504133523720843E-4</v>
      </c>
      <c r="E433">
        <v>273.19441558441599</v>
      </c>
      <c r="F433" s="2">
        <f>(int_data[[#This Row],[closes_ing]]-E432)/E432</f>
        <v>6.6081661721049883E-5</v>
      </c>
      <c r="G433" s="2">
        <f>LN(int_data[[#This Row],[closes_ing]]/E432)</f>
        <v>6.6079478424237932E-5</v>
      </c>
    </row>
    <row r="434" spans="1:7" x14ac:dyDescent="0.2">
      <c r="A434" s="1">
        <v>45359</v>
      </c>
      <c r="B434">
        <v>87.253116883116903</v>
      </c>
      <c r="C434" s="2">
        <f>(int_data[[#This Row],[closes_alior]]-B433)/B433</f>
        <v>1.9502231591252722E-4</v>
      </c>
      <c r="D434" s="2">
        <f>LN(int_data[[#This Row],[closes_alior]]/B433)</f>
        <v>1.9500330153287865E-4</v>
      </c>
      <c r="E434">
        <v>273.212467532468</v>
      </c>
      <c r="F434" s="2">
        <f>(int_data[[#This Row],[closes_ing]]-E433)/E433</f>
        <v>6.6077295223579481E-5</v>
      </c>
      <c r="G434" s="2">
        <f>LN(int_data[[#This Row],[closes_ing]]/E433)</f>
        <v>6.607511221536884E-5</v>
      </c>
    </row>
    <row r="435" spans="1:7" x14ac:dyDescent="0.2">
      <c r="A435" s="1">
        <v>45360</v>
      </c>
      <c r="B435">
        <v>87.270129870129907</v>
      </c>
      <c r="C435" s="2">
        <f>(int_data[[#This Row],[closes_alior]]-B434)/B434</f>
        <v>1.9498428962479804E-4</v>
      </c>
      <c r="D435" s="2">
        <f>LN(int_data[[#This Row],[closes_alior]]/B434)</f>
        <v>1.9496528265878837E-4</v>
      </c>
      <c r="E435">
        <v>273.23051948051898</v>
      </c>
      <c r="F435" s="2">
        <f>(int_data[[#This Row],[closes_ing]]-E434)/E434</f>
        <v>6.6072929299378633E-5</v>
      </c>
      <c r="G435" s="2">
        <f>LN(int_data[[#This Row],[closes_ing]]/E434)</f>
        <v>6.6070746579539966E-5</v>
      </c>
    </row>
    <row r="436" spans="1:7" x14ac:dyDescent="0.2">
      <c r="A436" s="1">
        <v>45361</v>
      </c>
      <c r="B436">
        <v>87.287142857142896</v>
      </c>
      <c r="C436" s="2">
        <f>(int_data[[#This Row],[closes_alior]]-B435)/B435</f>
        <v>1.9494627816307253E-4</v>
      </c>
      <c r="D436" s="2">
        <f>LN(int_data[[#This Row],[closes_alior]]/B435)</f>
        <v>1.9492727860650325E-4</v>
      </c>
      <c r="E436">
        <v>273.24857142857098</v>
      </c>
      <c r="F436" s="2">
        <f>(int_data[[#This Row],[closes_ing]]-E435)/E435</f>
        <v>6.6068563959568218E-5</v>
      </c>
      <c r="G436" s="2">
        <f>LN(int_data[[#This Row],[closes_ing]]/E435)</f>
        <v>6.6066381528074813E-5</v>
      </c>
    </row>
    <row r="437" spans="1:7" x14ac:dyDescent="0.2">
      <c r="A437" s="1">
        <v>45362</v>
      </c>
      <c r="B437">
        <v>87.304155844155801</v>
      </c>
      <c r="C437" s="2">
        <f>(int_data[[#This Row],[closes_alior]]-B436)/B436</f>
        <v>1.9490828151803042E-4</v>
      </c>
      <c r="D437" s="2">
        <f>LN(int_data[[#This Row],[closes_alior]]/B436)</f>
        <v>1.9488928936670091E-4</v>
      </c>
      <c r="E437">
        <v>273.26662337662299</v>
      </c>
      <c r="F437" s="2">
        <f>(int_data[[#This Row],[closes_ing]]-E436)/E436</f>
        <v>6.6064199192798415E-5</v>
      </c>
      <c r="G437" s="2">
        <f>LN(int_data[[#This Row],[closes_ing]]/E436)</f>
        <v>6.6062017049649865E-5</v>
      </c>
    </row>
    <row r="438" spans="1:7" x14ac:dyDescent="0.2">
      <c r="A438" s="1">
        <v>45363</v>
      </c>
      <c r="B438">
        <v>87.321168831168805</v>
      </c>
      <c r="C438" s="2">
        <f>(int_data[[#This Row],[closes_alior]]-B437)/B437</f>
        <v>1.9487029968393976E-4</v>
      </c>
      <c r="D438" s="2">
        <f>LN(int_data[[#This Row],[closes_alior]]/B437)</f>
        <v>1.9485131493338897E-4</v>
      </c>
      <c r="E438">
        <v>273.28467532467499</v>
      </c>
      <c r="F438" s="2">
        <f>(int_data[[#This Row],[closes_ing]]-E437)/E437</f>
        <v>6.6059835002700148E-5</v>
      </c>
      <c r="G438" s="2">
        <f>LN(int_data[[#This Row],[closes_ing]]/E437)</f>
        <v>6.6057653147817631E-5</v>
      </c>
    </row>
    <row r="439" spans="1:7" x14ac:dyDescent="0.2">
      <c r="A439" s="1">
        <v>45364</v>
      </c>
      <c r="B439">
        <v>87.338181818181795</v>
      </c>
      <c r="C439" s="2">
        <f>(int_data[[#This Row],[closes_alior]]-B438)/B438</f>
        <v>1.948323326487256E-4</v>
      </c>
      <c r="D439" s="2">
        <f>LN(int_data[[#This Row],[closes_alior]]/B438)</f>
        <v>1.9481335529480311E-4</v>
      </c>
      <c r="E439">
        <v>273.302727272727</v>
      </c>
      <c r="F439" s="2">
        <f>(int_data[[#This Row],[closes_ing]]-E438)/E438</f>
        <v>6.6055471389159156E-5</v>
      </c>
      <c r="G439" s="2">
        <f>LN(int_data[[#This Row],[closes_ing]]/E438)</f>
        <v>6.6053289822578086E-5</v>
      </c>
    </row>
    <row r="440" spans="1:7" x14ac:dyDescent="0.2">
      <c r="A440" s="1">
        <v>45365</v>
      </c>
      <c r="B440">
        <v>87.355194805194799</v>
      </c>
      <c r="C440" s="2">
        <f>(int_data[[#This Row],[closes_alior]]-B439)/B439</f>
        <v>1.947943804053671E-4</v>
      </c>
      <c r="D440" s="2">
        <f>LN(int_data[[#This Row],[closes_alior]]/B439)</f>
        <v>1.9477541044339691E-4</v>
      </c>
      <c r="E440">
        <v>273.320779220779</v>
      </c>
      <c r="F440" s="2">
        <f>(int_data[[#This Row],[closes_ing]]-E439)/E439</f>
        <v>6.6051108352061178E-5</v>
      </c>
      <c r="G440" s="2">
        <f>LN(int_data[[#This Row],[closes_ing]]/E439)</f>
        <v>6.6048927073709238E-5</v>
      </c>
    </row>
    <row r="441" spans="1:7" x14ac:dyDescent="0.2">
      <c r="A441" s="1">
        <v>45366</v>
      </c>
      <c r="B441">
        <v>87.372207792207803</v>
      </c>
      <c r="C441" s="2">
        <f>(int_data[[#This Row],[closes_alior]]-B440)/B440</f>
        <v>1.9475644294473374E-4</v>
      </c>
      <c r="D441" s="2">
        <f>LN(int_data[[#This Row],[closes_alior]]/B440)</f>
        <v>1.9473748037073603E-4</v>
      </c>
      <c r="E441">
        <v>273.33883116883101</v>
      </c>
      <c r="F441" s="2">
        <f>(int_data[[#This Row],[closes_ing]]-E440)/E440</f>
        <v>6.604674589129202E-5</v>
      </c>
      <c r="G441" s="2">
        <f>LN(int_data[[#This Row],[closes_ing]]/E440)</f>
        <v>6.6044564900989057E-5</v>
      </c>
    </row>
    <row r="442" spans="1:7" x14ac:dyDescent="0.2">
      <c r="A442" s="1">
        <v>45367</v>
      </c>
      <c r="B442">
        <v>87.389220779220807</v>
      </c>
      <c r="C442" s="2">
        <f>(int_data[[#This Row],[closes_alior]]-B441)/B441</f>
        <v>1.9471852025835276E-4</v>
      </c>
      <c r="D442" s="2">
        <f>LN(int_data[[#This Row],[closes_alior]]/B441)</f>
        <v>1.9469956506794209E-4</v>
      </c>
      <c r="E442">
        <v>273.35688311688301</v>
      </c>
      <c r="F442" s="2">
        <f>(int_data[[#This Row],[closes_ing]]-E441)/E441</f>
        <v>6.6042384006737476E-5</v>
      </c>
      <c r="G442" s="2">
        <f>LN(int_data[[#This Row],[closes_ing]]/E441)</f>
        <v>6.6040203304417543E-5</v>
      </c>
    </row>
    <row r="443" spans="1:7" x14ac:dyDescent="0.2">
      <c r="A443" s="1">
        <v>45368</v>
      </c>
      <c r="B443">
        <v>87.406233766233797</v>
      </c>
      <c r="C443" s="2">
        <f>(int_data[[#This Row],[closes_alior]]-B442)/B442</f>
        <v>1.9468061233743277E-4</v>
      </c>
      <c r="D443" s="2">
        <f>LN(int_data[[#This Row],[closes_alior]]/B442)</f>
        <v>1.946616645261367E-4</v>
      </c>
      <c r="E443">
        <v>273.37493506493502</v>
      </c>
      <c r="F443" s="2">
        <f>(int_data[[#This Row],[closes_ing]]-E442)/E442</f>
        <v>6.6038022698283378E-5</v>
      </c>
      <c r="G443" s="2">
        <f>LN(int_data[[#This Row],[closes_ing]]/E442)</f>
        <v>6.6035842283994694E-5</v>
      </c>
    </row>
    <row r="444" spans="1:7" x14ac:dyDescent="0.2">
      <c r="A444" s="1">
        <v>45369</v>
      </c>
      <c r="B444">
        <v>87.423246753246701</v>
      </c>
      <c r="C444" s="2">
        <f>(int_data[[#This Row],[closes_alior]]-B443)/B443</f>
        <v>1.946427191727015E-4</v>
      </c>
      <c r="D444" s="2">
        <f>LN(int_data[[#This Row],[closes_alior]]/B443)</f>
        <v>1.9462377873644151E-4</v>
      </c>
      <c r="E444">
        <v>273.39298701298702</v>
      </c>
      <c r="F444" s="2">
        <f>(int_data[[#This Row],[closes_ing]]-E443)/E443</f>
        <v>6.6033661965815628E-5</v>
      </c>
      <c r="G444" s="2">
        <f>LN(int_data[[#This Row],[closes_ing]]/E443)</f>
        <v>6.6031481839498509E-5</v>
      </c>
    </row>
    <row r="445" spans="1:7" x14ac:dyDescent="0.2">
      <c r="A445" s="1">
        <v>45370</v>
      </c>
      <c r="B445">
        <v>87.440259740259705</v>
      </c>
      <c r="C445" s="2">
        <f>(int_data[[#This Row],[closes_alior]]-B444)/B444</f>
        <v>1.9460484075847022E-4</v>
      </c>
      <c r="D445" s="2">
        <f>LN(int_data[[#This Row],[closes_alior]]/B444)</f>
        <v>1.9458590769264215E-4</v>
      </c>
      <c r="E445">
        <v>273.41103896103903</v>
      </c>
      <c r="F445" s="2">
        <f>(int_data[[#This Row],[closes_ing]]-E444)/E444</f>
        <v>6.6029301809220127E-5</v>
      </c>
      <c r="G445" s="2">
        <f>LN(int_data[[#This Row],[closes_ing]]/E444)</f>
        <v>6.6027121970928986E-5</v>
      </c>
    </row>
    <row r="446" spans="1:7" x14ac:dyDescent="0.2">
      <c r="A446" s="1">
        <v>45371</v>
      </c>
      <c r="B446">
        <v>87.457272727272695</v>
      </c>
      <c r="C446" s="2">
        <f>(int_data[[#This Row],[closes_alior]]-B445)/B445</f>
        <v>1.9456697708271562E-4</v>
      </c>
      <c r="D446" s="2">
        <f>LN(int_data[[#This Row],[closes_alior]]/B445)</f>
        <v>1.9454805138319624E-4</v>
      </c>
      <c r="E446">
        <v>273.42909090909097</v>
      </c>
      <c r="F446" s="2">
        <f>(int_data[[#This Row],[closes_ing]]-E445)/E445</f>
        <v>6.6024942228174881E-5</v>
      </c>
      <c r="G446" s="2">
        <f>LN(int_data[[#This Row],[closes_ing]]/E445)</f>
        <v>6.6022762677620046E-5</v>
      </c>
    </row>
    <row r="447" spans="1:7" x14ac:dyDescent="0.2">
      <c r="A447" s="1">
        <v>45372</v>
      </c>
      <c r="B447">
        <v>87.474285714285699</v>
      </c>
      <c r="C447" s="2">
        <f>(int_data[[#This Row],[closes_alior]]-B446)/B446</f>
        <v>1.9452912813846171E-4</v>
      </c>
      <c r="D447" s="2">
        <f>LN(int_data[[#This Row],[closes_alior]]/B446)</f>
        <v>1.9451020980100134E-4</v>
      </c>
      <c r="E447">
        <v>273.44714285714298</v>
      </c>
      <c r="F447" s="2">
        <f>(int_data[[#This Row],[closes_ing]]-E446)/E446</f>
        <v>6.6020583223189613E-5</v>
      </c>
      <c r="G447" s="2">
        <f>LN(int_data[[#This Row],[closes_ing]]/E446)</f>
        <v>6.6018403960459813E-5</v>
      </c>
    </row>
    <row r="448" spans="1:7" x14ac:dyDescent="0.2">
      <c r="A448" s="1">
        <v>45373</v>
      </c>
      <c r="B448">
        <v>87.491298701298703</v>
      </c>
      <c r="C448" s="2">
        <f>(int_data[[#This Row],[closes_alior]]-B447)/B447</f>
        <v>1.9449129391662558E-4</v>
      </c>
      <c r="D448" s="2">
        <f>LN(int_data[[#This Row],[closes_alior]]/B447)</f>
        <v>1.9447238293695713E-4</v>
      </c>
      <c r="E448">
        <v>273.46519480519498</v>
      </c>
      <c r="F448" s="2">
        <f>(int_data[[#This Row],[closes_ing]]-E447)/E447</f>
        <v>6.6016224793526552E-5</v>
      </c>
      <c r="G448" s="2">
        <f>LN(int_data[[#This Row],[closes_ing]]/E447)</f>
        <v>6.6014045818560177E-5</v>
      </c>
    </row>
    <row r="449" spans="1:7" x14ac:dyDescent="0.2">
      <c r="A449" s="1">
        <v>45374</v>
      </c>
      <c r="B449">
        <v>87.508311688311693</v>
      </c>
      <c r="C449" s="2">
        <f>(int_data[[#This Row],[closes_alior]]-B448)/B448</f>
        <v>1.9445347440861881E-4</v>
      </c>
      <c r="D449" s="2">
        <f>LN(int_data[[#This Row],[closes_alior]]/B448)</f>
        <v>1.9443457078240721E-4</v>
      </c>
      <c r="E449">
        <v>273.48324675324699</v>
      </c>
      <c r="F449" s="2">
        <f>(int_data[[#This Row],[closes_ing]]-E448)/E448</f>
        <v>6.6011866939279644E-5</v>
      </c>
      <c r="G449" s="2">
        <f>LN(int_data[[#This Row],[closes_ing]]/E448)</f>
        <v>6.6009688251921137E-5</v>
      </c>
    </row>
    <row r="450" spans="1:7" x14ac:dyDescent="0.2">
      <c r="A450" s="1">
        <v>45375</v>
      </c>
      <c r="B450">
        <v>87.525324675324697</v>
      </c>
      <c r="C450" s="2">
        <f>(int_data[[#This Row],[closes_alior]]-B449)/B449</f>
        <v>1.944156696063468E-4</v>
      </c>
      <c r="D450" s="2">
        <f>LN(int_data[[#This Row],[closes_alior]]/B449)</f>
        <v>1.943967733291392E-4</v>
      </c>
      <c r="E450">
        <v>273.50129870129899</v>
      </c>
      <c r="F450" s="2">
        <f>(int_data[[#This Row],[closes_ing]]-E449)/E449</f>
        <v>6.6007509660334952E-5</v>
      </c>
      <c r="G450" s="2">
        <f>LN(int_data[[#This Row],[closes_ing]]/E449)</f>
        <v>6.6005331260542708E-5</v>
      </c>
    </row>
    <row r="451" spans="1:7" x14ac:dyDescent="0.2">
      <c r="A451" s="1">
        <v>45376</v>
      </c>
      <c r="B451">
        <v>87.542337662337701</v>
      </c>
      <c r="C451" s="2">
        <f>(int_data[[#This Row],[closes_alior]]-B450)/B450</f>
        <v>1.94377879500747E-4</v>
      </c>
      <c r="D451" s="2">
        <f>LN(int_data[[#This Row],[closes_alior]]/B450)</f>
        <v>1.9435899056849667E-4</v>
      </c>
      <c r="E451">
        <v>273.519350649351</v>
      </c>
      <c r="F451" s="2">
        <f>(int_data[[#This Row],[closes_ing]]-E450)/E450</f>
        <v>6.6003152956578553E-5</v>
      </c>
      <c r="G451" s="2">
        <f>LN(int_data[[#This Row],[closes_ing]]/E450)</f>
        <v>6.6000974844424902E-5</v>
      </c>
    </row>
    <row r="452" spans="1:7" x14ac:dyDescent="0.2">
      <c r="A452" s="1">
        <v>45377</v>
      </c>
      <c r="B452">
        <v>87.559350649350606</v>
      </c>
      <c r="C452" s="2">
        <f>(int_data[[#This Row],[closes_alior]]-B451)/B451</f>
        <v>1.9434010408227699E-4</v>
      </c>
      <c r="D452" s="2">
        <f>LN(int_data[[#This Row],[closes_alior]]/B451)</f>
        <v>1.9432122249049127E-4</v>
      </c>
      <c r="E452">
        <v>273.537402597403</v>
      </c>
      <c r="F452" s="2">
        <f>(int_data[[#This Row],[closes_ing]]-E451)/E451</f>
        <v>6.599879682789658E-5</v>
      </c>
      <c r="G452" s="2">
        <f>LN(int_data[[#This Row],[closes_ing]]/E451)</f>
        <v>6.5996619003123657E-5</v>
      </c>
    </row>
    <row r="453" spans="1:7" x14ac:dyDescent="0.2">
      <c r="A453" s="1">
        <v>45378</v>
      </c>
      <c r="B453">
        <v>87.576363636363595</v>
      </c>
      <c r="C453" s="2">
        <f>(int_data[[#This Row],[closes_alior]]-B452)/B452</f>
        <v>1.9430234334562175E-4</v>
      </c>
      <c r="D453" s="2">
        <f>LN(int_data[[#This Row],[closes_alior]]/B452)</f>
        <v>1.9428346909024059E-4</v>
      </c>
      <c r="E453">
        <v>273.55545454545501</v>
      </c>
      <c r="F453" s="2">
        <f>(int_data[[#This Row],[closes_ing]]-E452)/E452</f>
        <v>6.5994441274175151E-5</v>
      </c>
      <c r="G453" s="2">
        <f>LN(int_data[[#This Row],[closes_ing]]/E452)</f>
        <v>6.5992263736861019E-5</v>
      </c>
    </row>
    <row r="454" spans="1:7" x14ac:dyDescent="0.2">
      <c r="A454" s="1">
        <v>45379</v>
      </c>
      <c r="B454">
        <v>87.593376623376599</v>
      </c>
      <c r="C454" s="2">
        <f>(int_data[[#This Row],[closes_alior]]-B453)/B453</f>
        <v>1.9426459727930361E-4</v>
      </c>
      <c r="D454" s="2">
        <f>LN(int_data[[#This Row],[closes_alior]]/B453)</f>
        <v>1.9424573035575825E-4</v>
      </c>
      <c r="E454">
        <v>273.57350649350599</v>
      </c>
      <c r="F454" s="2">
        <f>(int_data[[#This Row],[closes_ing]]-E453)/E453</f>
        <v>6.5990086291560157E-5</v>
      </c>
      <c r="G454" s="2">
        <f>LN(int_data[[#This Row],[closes_ing]]/E453)</f>
        <v>6.5987909041640441E-5</v>
      </c>
    </row>
    <row r="455" spans="1:7" x14ac:dyDescent="0.2">
      <c r="A455" s="1">
        <v>45380</v>
      </c>
      <c r="B455">
        <v>87.610389610389603</v>
      </c>
      <c r="C455" s="2">
        <f>(int_data[[#This Row],[closes_alior]]-B454)/B454</f>
        <v>1.9422686587542348E-4</v>
      </c>
      <c r="D455" s="2">
        <f>LN(int_data[[#This Row],[closes_alior]]/B454)</f>
        <v>1.9420800627971982E-4</v>
      </c>
      <c r="E455">
        <v>273.59155844155799</v>
      </c>
      <c r="F455" s="2">
        <f>(int_data[[#This Row],[closes_ing]]-E454)/E454</f>
        <v>6.5985731891158951E-5</v>
      </c>
      <c r="G455" s="2">
        <f>LN(int_data[[#This Row],[closes_ing]]/E454)</f>
        <v>6.598355492856345E-5</v>
      </c>
    </row>
    <row r="456" spans="1:7" x14ac:dyDescent="0.2">
      <c r="A456" s="1">
        <v>45381</v>
      </c>
      <c r="B456">
        <v>87.627402597402593</v>
      </c>
      <c r="C456" s="2">
        <f>(int_data[[#This Row],[closes_alior]]-B455)/B455</f>
        <v>1.9418914912543961E-4</v>
      </c>
      <c r="D456" s="2">
        <f>LN(int_data[[#This Row],[closes_alior]]/B455)</f>
        <v>1.9417029685324695E-4</v>
      </c>
      <c r="E456">
        <v>273.60961038961</v>
      </c>
      <c r="F456" s="2">
        <f>(int_data[[#This Row],[closes_ing]]-E455)/E455</f>
        <v>6.5981378061636363E-5</v>
      </c>
      <c r="G456" s="2">
        <f>LN(int_data[[#This Row],[closes_ing]]/E455)</f>
        <v>6.5979201386306516E-5</v>
      </c>
    </row>
    <row r="457" spans="1:7" x14ac:dyDescent="0.2">
      <c r="A457" s="1">
        <v>45382</v>
      </c>
      <c r="B457">
        <v>87.644415584415597</v>
      </c>
      <c r="C457" s="2">
        <f>(int_data[[#This Row],[closes_alior]]-B456)/B456</f>
        <v>1.9415144702130327E-4</v>
      </c>
      <c r="D457" s="2">
        <f>LN(int_data[[#This Row],[closes_alior]]/B456)</f>
        <v>1.9413260206834919E-4</v>
      </c>
      <c r="E457">
        <v>273.627662337662</v>
      </c>
      <c r="F457" s="2">
        <f>(int_data[[#This Row],[closes_ing]]-E456)/E456</f>
        <v>6.5977024806619224E-5</v>
      </c>
      <c r="G457" s="2">
        <f>LN(int_data[[#This Row],[closes_ing]]/E456)</f>
        <v>6.5974848418422121E-5</v>
      </c>
    </row>
    <row r="458" spans="1:7" x14ac:dyDescent="0.2">
      <c r="A458" s="1">
        <v>45383</v>
      </c>
      <c r="B458">
        <v>87.661428571428601</v>
      </c>
      <c r="C458" s="2">
        <f>(int_data[[#This Row],[closes_alior]]-B457)/B457</f>
        <v>1.9411375955399911E-4</v>
      </c>
      <c r="D458" s="2">
        <f>LN(int_data[[#This Row],[closes_alior]]/B457)</f>
        <v>1.9409492191592618E-4</v>
      </c>
      <c r="E458">
        <v>273.64571428571401</v>
      </c>
      <c r="F458" s="2">
        <f>(int_data[[#This Row],[closes_ing]]-E457)/E457</f>
        <v>6.5972672125993802E-5</v>
      </c>
      <c r="G458" s="2">
        <f>LN(int_data[[#This Row],[closes_ing]]/E457)</f>
        <v>6.5970496024910267E-5</v>
      </c>
    </row>
    <row r="459" spans="1:7" x14ac:dyDescent="0.2">
      <c r="A459" s="1">
        <v>45384</v>
      </c>
      <c r="B459">
        <v>87.678441558441506</v>
      </c>
      <c r="C459" s="2">
        <f>(int_data[[#This Row],[closes_alior]]-B458)/B458</f>
        <v>1.9407608671403252E-4</v>
      </c>
      <c r="D459" s="2">
        <f>LN(int_data[[#This Row],[closes_alior]]/B458)</f>
        <v>1.9405725638665548E-4</v>
      </c>
      <c r="E459">
        <v>273.66376623376601</v>
      </c>
      <c r="F459" s="2">
        <f>(int_data[[#This Row],[closes_ing]]-E458)/E458</f>
        <v>6.5968320019646446E-5</v>
      </c>
      <c r="G459" s="2">
        <f>LN(int_data[[#This Row],[closes_ing]]/E458)</f>
        <v>6.596614420577098E-5</v>
      </c>
    </row>
    <row r="460" spans="1:7" x14ac:dyDescent="0.2">
      <c r="A460" s="1">
        <v>45385</v>
      </c>
      <c r="B460">
        <v>87.695454545454496</v>
      </c>
      <c r="C460" s="2">
        <f>(int_data[[#This Row],[closes_alior]]-B459)/B459</f>
        <v>1.9403842849613053E-4</v>
      </c>
      <c r="D460" s="2">
        <f>LN(int_data[[#This Row],[closes_alior]]/B459)</f>
        <v>1.9401960547521074E-4</v>
      </c>
      <c r="E460">
        <v>273.68181818181802</v>
      </c>
      <c r="F460" s="2">
        <f>(int_data[[#This Row],[closes_ing]]-E459)/E459</f>
        <v>6.5963968487463504E-5</v>
      </c>
      <c r="G460" s="2">
        <f>LN(int_data[[#This Row],[closes_ing]]/E459)</f>
        <v>6.5961792960560198E-5</v>
      </c>
    </row>
    <row r="461" spans="1:7" x14ac:dyDescent="0.2">
      <c r="A461" s="1">
        <v>45386</v>
      </c>
      <c r="B461">
        <v>87.7124675324675</v>
      </c>
      <c r="C461" s="2">
        <f>(int_data[[#This Row],[closes_alior]]-B460)/B460</f>
        <v>1.9400078488886576E-4</v>
      </c>
      <c r="D461" s="2">
        <f>LN(int_data[[#This Row],[closes_alior]]/B460)</f>
        <v>1.9398196917004947E-4</v>
      </c>
      <c r="E461">
        <v>273.69987012987002</v>
      </c>
      <c r="F461" s="2">
        <f>(int_data[[#This Row],[closes_ing]]-E460)/E460</f>
        <v>6.5959617529331351E-5</v>
      </c>
      <c r="G461" s="2">
        <f>LN(int_data[[#This Row],[closes_ing]]/E460)</f>
        <v>6.5957442289499966E-5</v>
      </c>
    </row>
    <row r="462" spans="1:7" x14ac:dyDescent="0.2">
      <c r="A462" s="1">
        <v>45387</v>
      </c>
      <c r="B462">
        <v>87.729480519480504</v>
      </c>
      <c r="C462" s="2">
        <f>(int_data[[#This Row],[closes_alior]]-B461)/B461</f>
        <v>1.9396315588438465E-4</v>
      </c>
      <c r="D462" s="2">
        <f>LN(int_data[[#This Row],[closes_alior]]/B461)</f>
        <v>1.9394434746362535E-4</v>
      </c>
      <c r="E462">
        <v>273.71792207792203</v>
      </c>
      <c r="F462" s="2">
        <f>(int_data[[#This Row],[closes_ing]]-E461)/E461</f>
        <v>6.5955267145136404E-5</v>
      </c>
      <c r="G462" s="2">
        <f>LN(int_data[[#This Row],[closes_ing]]/E461)</f>
        <v>6.5953092192146221E-5</v>
      </c>
    </row>
    <row r="463" spans="1:7" x14ac:dyDescent="0.2">
      <c r="A463" s="1">
        <v>45388</v>
      </c>
      <c r="B463">
        <v>87.746493506493493</v>
      </c>
      <c r="C463" s="2">
        <f>(int_data[[#This Row],[closes_alior]]-B462)/B462</f>
        <v>1.9392554147419172E-4</v>
      </c>
      <c r="D463" s="2">
        <f>LN(int_data[[#This Row],[closes_alior]]/B462)</f>
        <v>1.9390674034705987E-4</v>
      </c>
      <c r="E463">
        <v>273.73597402597397</v>
      </c>
      <c r="F463" s="2">
        <f>(int_data[[#This Row],[closes_ing]]-E462)/E462</f>
        <v>6.5950917334557454E-5</v>
      </c>
      <c r="G463" s="2">
        <f>LN(int_data[[#This Row],[closes_ing]]/E462)</f>
        <v>6.5948742668498977E-5</v>
      </c>
    </row>
    <row r="464" spans="1:7" x14ac:dyDescent="0.2">
      <c r="A464" s="1">
        <v>45389</v>
      </c>
      <c r="B464">
        <v>87.763506493506497</v>
      </c>
      <c r="C464" s="2">
        <f>(int_data[[#This Row],[closes_alior]]-B463)/B463</f>
        <v>1.9388794165028385E-4</v>
      </c>
      <c r="D464" s="2">
        <f>LN(int_data[[#This Row],[closes_alior]]/B463)</f>
        <v>1.9386914781258471E-4</v>
      </c>
      <c r="E464">
        <v>273.75402597402598</v>
      </c>
      <c r="F464" s="2">
        <f>(int_data[[#This Row],[closes_ing]]-E463)/E463</f>
        <v>6.5946568098103995E-5</v>
      </c>
      <c r="G464" s="2">
        <f>LN(int_data[[#This Row],[closes_ing]]/E463)</f>
        <v>6.5944393718780252E-5</v>
      </c>
    </row>
    <row r="465" spans="1:7" x14ac:dyDescent="0.2">
      <c r="A465" s="1">
        <v>45390</v>
      </c>
      <c r="B465">
        <v>87.780519480519501</v>
      </c>
      <c r="C465" s="2">
        <f>(int_data[[#This Row],[closes_alior]]-B464)/B464</f>
        <v>1.9385035640369258E-4</v>
      </c>
      <c r="D465" s="2">
        <f>LN(int_data[[#This Row],[closes_alior]]/B464)</f>
        <v>1.9383156985109938E-4</v>
      </c>
      <c r="E465">
        <v>273.77207792207798</v>
      </c>
      <c r="F465" s="2">
        <f>(int_data[[#This Row],[closes_ing]]-E464)/E464</f>
        <v>6.5942219435039475E-5</v>
      </c>
      <c r="G465" s="2">
        <f>LN(int_data[[#This Row],[closes_ing]]/E464)</f>
        <v>6.5940045342546025E-5</v>
      </c>
    </row>
    <row r="466" spans="1:7" x14ac:dyDescent="0.2">
      <c r="A466" s="1">
        <v>45391</v>
      </c>
      <c r="B466">
        <v>87.797532467532506</v>
      </c>
      <c r="C466" s="2">
        <f>(int_data[[#This Row],[closes_alior]]-B465)/B465</f>
        <v>1.9381278572610397E-4</v>
      </c>
      <c r="D466" s="2">
        <f>LN(int_data[[#This Row],[closes_alior]]/B465)</f>
        <v>1.9379400645461352E-4</v>
      </c>
      <c r="E466">
        <v>273.79012987012999</v>
      </c>
      <c r="F466" s="2">
        <f>(int_data[[#This Row],[closes_ing]]-E465)/E465</f>
        <v>6.5937871345458137E-5</v>
      </c>
      <c r="G466" s="2">
        <f>LN(int_data[[#This Row],[closes_ing]]/E465)</f>
        <v>6.5935697539574263E-5</v>
      </c>
    </row>
    <row r="467" spans="1:7" x14ac:dyDescent="0.2">
      <c r="A467" s="1">
        <v>45392</v>
      </c>
      <c r="B467">
        <v>87.814545454545495</v>
      </c>
      <c r="C467" s="2">
        <f>(int_data[[#This Row],[closes_alior]]-B466)/B466</f>
        <v>1.9377522960888687E-4</v>
      </c>
      <c r="D467" s="2">
        <f>LN(int_data[[#This Row],[closes_alior]]/B466)</f>
        <v>1.9375645761402668E-4</v>
      </c>
      <c r="E467">
        <v>273.80818181818199</v>
      </c>
      <c r="F467" s="2">
        <f>(int_data[[#This Row],[closes_ing]]-E466)/E466</f>
        <v>6.5933523829246534E-5</v>
      </c>
      <c r="G467" s="2">
        <f>LN(int_data[[#This Row],[closes_ing]]/E466)</f>
        <v>6.5931350310086985E-5</v>
      </c>
    </row>
    <row r="468" spans="1:7" x14ac:dyDescent="0.2">
      <c r="A468" s="1">
        <v>45393</v>
      </c>
      <c r="B468">
        <v>87.8315584415584</v>
      </c>
      <c r="C468" s="2">
        <f>(int_data[[#This Row],[closes_alior]]-B467)/B467</f>
        <v>1.9373768804293131E-4</v>
      </c>
      <c r="D468" s="2">
        <f>LN(int_data[[#This Row],[closes_alior]]/B467)</f>
        <v>1.9371892332068245E-4</v>
      </c>
      <c r="E468">
        <v>273.826233766234</v>
      </c>
      <c r="F468" s="2">
        <f>(int_data[[#This Row],[closes_ing]]-E467)/E467</f>
        <v>6.5929176886291257E-5</v>
      </c>
      <c r="G468" s="2">
        <f>LN(int_data[[#This Row],[closes_ing]]/E467)</f>
        <v>6.5927003653640156E-5</v>
      </c>
    </row>
    <row r="469" spans="1:7" x14ac:dyDescent="0.2">
      <c r="A469" s="1">
        <v>45394</v>
      </c>
      <c r="B469">
        <v>87.848571428571404</v>
      </c>
      <c r="C469" s="2">
        <f>(int_data[[#This Row],[closes_alior]]-B468)/B468</f>
        <v>1.93700161022694E-4</v>
      </c>
      <c r="D469" s="2">
        <f>LN(int_data[[#This Row],[closes_alior]]/B468)</f>
        <v>1.936814035685884E-4</v>
      </c>
      <c r="E469">
        <v>273.844285714286</v>
      </c>
      <c r="F469" s="2">
        <f>(int_data[[#This Row],[closes_ing]]-E468)/E468</f>
        <v>6.5924830516478941E-5</v>
      </c>
      <c r="G469" s="2">
        <f>LN(int_data[[#This Row],[closes_ing]]/E468)</f>
        <v>6.5922657570233789E-5</v>
      </c>
    </row>
    <row r="470" spans="1:7" x14ac:dyDescent="0.2">
      <c r="A470" s="1">
        <v>45395</v>
      </c>
      <c r="B470">
        <v>87.865584415584394</v>
      </c>
      <c r="C470" s="2">
        <f>(int_data[[#This Row],[closes_alior]]-B469)/B469</f>
        <v>1.9366264853632666E-4</v>
      </c>
      <c r="D470" s="2">
        <f>LN(int_data[[#This Row],[closes_alior]]/B469)</f>
        <v>1.9364389834642412E-4</v>
      </c>
      <c r="E470">
        <v>273.86233766233801</v>
      </c>
      <c r="F470" s="2">
        <f>(int_data[[#This Row],[closes_ing]]-E469)/E469</f>
        <v>6.5920484719696231E-5</v>
      </c>
      <c r="G470" s="2">
        <f>LN(int_data[[#This Row],[closes_ing]]/E469)</f>
        <v>6.5918312060089901E-5</v>
      </c>
    </row>
    <row r="471" spans="1:7" x14ac:dyDescent="0.2">
      <c r="A471" s="1">
        <v>45396</v>
      </c>
      <c r="B471">
        <v>87.882597402597398</v>
      </c>
      <c r="C471" s="2">
        <f>(int_data[[#This Row],[closes_alior]]-B470)/B470</f>
        <v>1.9362515057700443E-4</v>
      </c>
      <c r="D471" s="2">
        <f>LN(int_data[[#This Row],[closes_alior]]/B470)</f>
        <v>1.9360640764686516E-4</v>
      </c>
      <c r="E471">
        <v>273.88038961039001</v>
      </c>
      <c r="F471" s="2">
        <f>(int_data[[#This Row],[closes_ing]]-E470)/E470</f>
        <v>6.5916139495829815E-5</v>
      </c>
      <c r="G471" s="2">
        <f>LN(int_data[[#This Row],[closes_ing]]/E470)</f>
        <v>6.5913967122542427E-5</v>
      </c>
    </row>
    <row r="472" spans="1:7" x14ac:dyDescent="0.2">
      <c r="A472" s="1">
        <v>45397</v>
      </c>
      <c r="B472">
        <v>87.899610389610402</v>
      </c>
      <c r="C472" s="2">
        <f>(int_data[[#This Row],[closes_alior]]-B471)/B471</f>
        <v>1.935876671358054E-4</v>
      </c>
      <c r="D472" s="2">
        <f>LN(int_data[[#This Row],[closes_alior]]/B471)</f>
        <v>1.9356893146125508E-4</v>
      </c>
      <c r="E472">
        <v>273.89844155844202</v>
      </c>
      <c r="F472" s="2">
        <f>(int_data[[#This Row],[closes_ing]]-E471)/E471</f>
        <v>6.5911794844766407E-5</v>
      </c>
      <c r="G472" s="2">
        <f>LN(int_data[[#This Row],[closes_ing]]/E471)</f>
        <v>6.5909622757813398E-5</v>
      </c>
    </row>
    <row r="473" spans="1:7" x14ac:dyDescent="0.2">
      <c r="A473" s="1">
        <v>45398</v>
      </c>
      <c r="B473">
        <v>87.916623376623406</v>
      </c>
      <c r="C473" s="2">
        <f>(int_data[[#This Row],[closes_alior]]-B472)/B472</f>
        <v>1.9355019820446132E-4</v>
      </c>
      <c r="D473" s="2">
        <f>LN(int_data[[#This Row],[closes_alior]]/B472)</f>
        <v>1.9353146978138151E-4</v>
      </c>
      <c r="E473">
        <v>273.91649350649402</v>
      </c>
      <c r="F473" s="2">
        <f>(int_data[[#This Row],[closes_ing]]-E472)/E472</f>
        <v>6.590745076639275E-5</v>
      </c>
      <c r="G473" s="2">
        <f>LN(int_data[[#This Row],[closes_ing]]/E472)</f>
        <v>6.5905278965680796E-5</v>
      </c>
    </row>
    <row r="474" spans="1:7" x14ac:dyDescent="0.2">
      <c r="A474" s="1">
        <v>45399</v>
      </c>
      <c r="B474">
        <v>87.933636363636396</v>
      </c>
      <c r="C474" s="2">
        <f>(int_data[[#This Row],[closes_alior]]-B473)/B473</f>
        <v>1.9351274377438704E-4</v>
      </c>
      <c r="D474" s="2">
        <f>LN(int_data[[#This Row],[closes_alior]]/B473)</f>
        <v>1.9349402259858796E-4</v>
      </c>
      <c r="E474">
        <v>273.934545454545</v>
      </c>
      <c r="F474" s="2">
        <f>(int_data[[#This Row],[closes_ing]]-E473)/E473</f>
        <v>6.5903107256860236E-5</v>
      </c>
      <c r="G474" s="2">
        <f>LN(int_data[[#This Row],[closes_ing]]/E473)</f>
        <v>6.5900935742592139E-5</v>
      </c>
    </row>
    <row r="475" spans="1:7" x14ac:dyDescent="0.2">
      <c r="A475" s="1">
        <v>45400</v>
      </c>
      <c r="B475">
        <v>87.9506493506493</v>
      </c>
      <c r="C475" s="2">
        <f>(int_data[[#This Row],[closes_alior]]-B474)/B474</f>
        <v>1.934753038365192E-4</v>
      </c>
      <c r="D475" s="2">
        <f>LN(int_data[[#This Row],[closes_alior]]/B474)</f>
        <v>1.9345658990377402E-4</v>
      </c>
      <c r="E475">
        <v>273.95259740259701</v>
      </c>
      <c r="F475" s="2">
        <f>(int_data[[#This Row],[closes_ing]]-E474)/E474</f>
        <v>6.5898764327262057E-5</v>
      </c>
      <c r="G475" s="2">
        <f>LN(int_data[[#This Row],[closes_ing]]/E474)</f>
        <v>6.5896593098982843E-5</v>
      </c>
    </row>
    <row r="476" spans="1:7" x14ac:dyDescent="0.2">
      <c r="A476" s="1">
        <v>45401</v>
      </c>
      <c r="B476">
        <v>87.967662337662304</v>
      </c>
      <c r="C476" s="2">
        <f>(int_data[[#This Row],[closes_alior]]-B475)/B475</f>
        <v>1.9343787838535637E-4</v>
      </c>
      <c r="D476" s="2">
        <f>LN(int_data[[#This Row],[closes_alior]]/B475)</f>
        <v>1.9341917169139126E-4</v>
      </c>
      <c r="E476">
        <v>273.97064935064901</v>
      </c>
      <c r="F476" s="2">
        <f>(int_data[[#This Row],[closes_ing]]-E475)/E475</f>
        <v>6.5894421966278423E-5</v>
      </c>
      <c r="G476" s="2">
        <f>LN(int_data[[#This Row],[closes_ing]]/E475)</f>
        <v>6.5892251024195501E-5</v>
      </c>
    </row>
    <row r="477" spans="1:7" x14ac:dyDescent="0.2">
      <c r="A477" s="1">
        <v>45402</v>
      </c>
      <c r="B477">
        <v>87.984675324675294</v>
      </c>
      <c r="C477" s="2">
        <f>(int_data[[#This Row],[closes_alior]]-B476)/B476</f>
        <v>1.9340046740910045E-4</v>
      </c>
      <c r="D477" s="2">
        <f>LN(int_data[[#This Row],[closes_alior]]/B476)</f>
        <v>1.9338176794967522E-4</v>
      </c>
      <c r="E477">
        <v>273.98870129870102</v>
      </c>
      <c r="F477" s="2">
        <f>(int_data[[#This Row],[closes_ing]]-E476)/E476</f>
        <v>6.5890080177531817E-5</v>
      </c>
      <c r="G477" s="2">
        <f>LN(int_data[[#This Row],[closes_ing]]/E476)</f>
        <v>6.5887909521560538E-5</v>
      </c>
    </row>
    <row r="478" spans="1:7" x14ac:dyDescent="0.2">
      <c r="A478" s="1">
        <v>45403</v>
      </c>
      <c r="B478">
        <v>88.001688311688298</v>
      </c>
      <c r="C478" s="2">
        <f>(int_data[[#This Row],[closes_alior]]-B477)/B477</f>
        <v>1.9336307090097007E-4</v>
      </c>
      <c r="D478" s="2">
        <f>LN(int_data[[#This Row],[closes_alior]]/B477)</f>
        <v>1.9334437867196748E-4</v>
      </c>
      <c r="E478">
        <v>274.00675324675302</v>
      </c>
      <c r="F478" s="2">
        <f>(int_data[[#This Row],[closes_ing]]-E477)/E477</f>
        <v>6.588573896090913E-5</v>
      </c>
      <c r="G478" s="2">
        <f>LN(int_data[[#This Row],[closes_ing]]/E477)</f>
        <v>6.588356859085595E-5</v>
      </c>
    </row>
    <row r="479" spans="1:7" x14ac:dyDescent="0.2">
      <c r="A479" s="1">
        <v>45404</v>
      </c>
      <c r="B479">
        <v>88.018701298701302</v>
      </c>
      <c r="C479" s="2">
        <f>(int_data[[#This Row],[closes_alior]]-B478)/B478</f>
        <v>1.933256888520896E-4</v>
      </c>
      <c r="D479" s="2">
        <f>LN(int_data[[#This Row],[closes_alior]]/B478)</f>
        <v>1.933070038491676E-4</v>
      </c>
      <c r="E479">
        <v>274.02480519480503</v>
      </c>
      <c r="F479" s="2">
        <f>(int_data[[#This Row],[closes_ing]]-E478)/E478</f>
        <v>6.5881398316297278E-5</v>
      </c>
      <c r="G479" s="2">
        <f>LN(int_data[[#This Row],[closes_ing]]/E478)</f>
        <v>6.5879228232303767E-5</v>
      </c>
    </row>
    <row r="480" spans="1:7" x14ac:dyDescent="0.2">
      <c r="A480" s="1">
        <v>45405</v>
      </c>
      <c r="B480">
        <v>88.035714285714306</v>
      </c>
      <c r="C480" s="2">
        <f>(int_data[[#This Row],[closes_alior]]-B479)/B479</f>
        <v>1.9328832125423606E-4</v>
      </c>
      <c r="D480" s="2">
        <f>LN(int_data[[#This Row],[closes_alior]]/B479)</f>
        <v>1.9326964347350713E-4</v>
      </c>
      <c r="E480">
        <v>274.04285714285697</v>
      </c>
      <c r="F480" s="2">
        <f>(int_data[[#This Row],[closes_ing]]-E479)/E479</f>
        <v>6.5877058243375786E-5</v>
      </c>
      <c r="G480" s="2">
        <f>LN(int_data[[#This Row],[closes_ing]]/E479)</f>
        <v>6.5874888445237911E-5</v>
      </c>
    </row>
    <row r="481" spans="1:7" x14ac:dyDescent="0.2">
      <c r="A481" s="1">
        <v>45406</v>
      </c>
      <c r="B481">
        <v>88.052727272727296</v>
      </c>
      <c r="C481" s="2">
        <f>(int_data[[#This Row],[closes_alior]]-B480)/B480</f>
        <v>1.9325096809887001E-4</v>
      </c>
      <c r="D481" s="2">
        <f>LN(int_data[[#This Row],[closes_alior]]/B480)</f>
        <v>1.932322975358856E-4</v>
      </c>
      <c r="E481">
        <v>274.06090909090898</v>
      </c>
      <c r="F481" s="2">
        <f>(int_data[[#This Row],[closes_ing]]-E480)/E480</f>
        <v>6.5872718742653971E-5</v>
      </c>
      <c r="G481" s="2">
        <f>LN(int_data[[#This Row],[closes_ing]]/E480)</f>
        <v>6.5870549230324474E-5</v>
      </c>
    </row>
    <row r="482" spans="1:7" x14ac:dyDescent="0.2">
      <c r="A482" s="1">
        <v>45407</v>
      </c>
      <c r="B482">
        <v>88.0697402597403</v>
      </c>
      <c r="C482" s="2">
        <f>(int_data[[#This Row],[closes_alior]]-B481)/B481</f>
        <v>1.9321362937810423E-4</v>
      </c>
      <c r="D482" s="2">
        <f>LN(int_data[[#This Row],[closes_alior]]/B481)</f>
        <v>1.931949660287566E-4</v>
      </c>
      <c r="E482">
        <v>274.07896103896098</v>
      </c>
      <c r="F482" s="2">
        <f>(int_data[[#This Row],[closes_ing]]-E481)/E481</f>
        <v>6.5868379813396487E-5</v>
      </c>
      <c r="G482" s="2">
        <f>LN(int_data[[#This Row],[closes_ing]]/E481)</f>
        <v>6.5866210586897376E-5</v>
      </c>
    </row>
    <row r="483" spans="1:7" x14ac:dyDescent="0.2">
      <c r="A483" s="1">
        <v>45408</v>
      </c>
      <c r="B483">
        <v>88.086753246753204</v>
      </c>
      <c r="C483" s="2">
        <f>(int_data[[#This Row],[closes_alior]]-B482)/B482</f>
        <v>1.9317630508195976E-4</v>
      </c>
      <c r="D483" s="2">
        <f>LN(int_data[[#This Row],[closes_alior]]/B482)</f>
        <v>1.9315764894213167E-4</v>
      </c>
      <c r="E483">
        <v>274.09701298701299</v>
      </c>
      <c r="F483" s="2">
        <f>(int_data[[#This Row],[closes_ing]]-E482)/E482</f>
        <v>6.5864041455697834E-5</v>
      </c>
      <c r="G483" s="2">
        <f>LN(int_data[[#This Row],[closes_ing]]/E482)</f>
        <v>6.5861872514956632E-5</v>
      </c>
    </row>
    <row r="484" spans="1:7" x14ac:dyDescent="0.2">
      <c r="A484" s="1">
        <v>45409</v>
      </c>
      <c r="B484">
        <v>88.103766233766194</v>
      </c>
      <c r="C484" s="2">
        <f>(int_data[[#This Row],[closes_alior]]-B483)/B483</f>
        <v>1.9313899520546687E-4</v>
      </c>
      <c r="D484" s="2">
        <f>LN(int_data[[#This Row],[closes_alior]]/B483)</f>
        <v>1.9312034627090637E-4</v>
      </c>
      <c r="E484">
        <v>274.11506493506499</v>
      </c>
      <c r="F484" s="2">
        <f>(int_data[[#This Row],[closes_ing]]-E483)/E483</f>
        <v>6.5859703669445094E-5</v>
      </c>
      <c r="G484" s="2">
        <f>LN(int_data[[#This Row],[closes_ing]]/E483)</f>
        <v>6.585753501428021E-5</v>
      </c>
    </row>
    <row r="485" spans="1:7" x14ac:dyDescent="0.2">
      <c r="A485" s="1">
        <v>45410</v>
      </c>
      <c r="B485">
        <v>88.120779220779198</v>
      </c>
      <c r="C485" s="2">
        <f>(int_data[[#This Row],[closes_alior]]-B484)/B484</f>
        <v>1.9310169973736846E-4</v>
      </c>
      <c r="D485" s="2">
        <f>LN(int_data[[#This Row],[closes_alior]]/B484)</f>
        <v>1.9308305800398224E-4</v>
      </c>
      <c r="E485">
        <v>274.133116883117</v>
      </c>
      <c r="F485" s="2">
        <f>(int_data[[#This Row],[closes_ing]]-E484)/E484</f>
        <v>6.5855366454525347E-5</v>
      </c>
      <c r="G485" s="2">
        <f>LN(int_data[[#This Row],[closes_ing]]/E484)</f>
        <v>6.5853198085090154E-5</v>
      </c>
    </row>
    <row r="486" spans="1:7" x14ac:dyDescent="0.2">
      <c r="A486" s="1">
        <v>45411</v>
      </c>
      <c r="B486">
        <v>88.137792207792202</v>
      </c>
      <c r="C486" s="2">
        <f>(int_data[[#This Row],[closes_alior]]-B485)/B485</f>
        <v>1.9306441866996448E-4</v>
      </c>
      <c r="D486" s="2">
        <f>LN(int_data[[#This Row],[closes_alior]]/B485)</f>
        <v>1.930457841335908E-4</v>
      </c>
      <c r="E486">
        <v>274.151168831169</v>
      </c>
      <c r="F486" s="2">
        <f>(int_data[[#This Row],[closes_ing]]-E485)/E485</f>
        <v>6.5851029810825754E-5</v>
      </c>
      <c r="G486" s="2">
        <f>LN(int_data[[#This Row],[closes_ing]]/E485)</f>
        <v>6.5848861726942404E-5</v>
      </c>
    </row>
    <row r="487" spans="1:7" x14ac:dyDescent="0.2">
      <c r="A487" s="1">
        <v>45412</v>
      </c>
      <c r="B487">
        <v>88.154805194805206</v>
      </c>
      <c r="C487" s="2">
        <f>(int_data[[#This Row],[closes_alior]]-B486)/B486</f>
        <v>1.9302715199507703E-4</v>
      </c>
      <c r="D487" s="2">
        <f>LN(int_data[[#This Row],[closes_alior]]/B486)</f>
        <v>1.9300852465129763E-4</v>
      </c>
      <c r="E487">
        <v>274.16922077922101</v>
      </c>
      <c r="F487" s="2">
        <f>(int_data[[#This Row],[closes_ing]]-E486)/E486</f>
        <v>6.5846693738233451E-5</v>
      </c>
      <c r="G487" s="2">
        <f>LN(int_data[[#This Row],[closes_ing]]/E486)</f>
        <v>6.5844525939836985E-5</v>
      </c>
    </row>
    <row r="488" spans="1:7" x14ac:dyDescent="0.2">
      <c r="A488" s="1">
        <v>45413</v>
      </c>
      <c r="B488">
        <v>88.171818181818196</v>
      </c>
      <c r="C488" s="2">
        <f>(int_data[[#This Row],[closes_alior]]-B487)/B487</f>
        <v>1.9298989970421208E-4</v>
      </c>
      <c r="D488" s="2">
        <f>LN(int_data[[#This Row],[closes_alior]]/B487)</f>
        <v>1.9297127954911227E-4</v>
      </c>
      <c r="E488">
        <v>274.18727272727301</v>
      </c>
      <c r="F488" s="2">
        <f>(int_data[[#This Row],[closes_ing]]-E487)/E487</f>
        <v>6.5842358236635639E-5</v>
      </c>
      <c r="G488" s="2">
        <f>LN(int_data[[#This Row],[closes_ing]]/E487)</f>
        <v>6.5840190723773871E-5</v>
      </c>
    </row>
    <row r="489" spans="1:7" x14ac:dyDescent="0.2">
      <c r="A489" s="1">
        <v>45414</v>
      </c>
      <c r="B489">
        <v>88.1888311688312</v>
      </c>
      <c r="C489" s="2">
        <f>(int_data[[#This Row],[closes_alior]]-B488)/B488</f>
        <v>1.9295266178952686E-4</v>
      </c>
      <c r="D489" s="2">
        <f>LN(int_data[[#This Row],[closes_alior]]/B488)</f>
        <v>1.9293404881882221E-4</v>
      </c>
      <c r="E489">
        <v>274.20532467532502</v>
      </c>
      <c r="F489" s="2">
        <f>(int_data[[#This Row],[closes_ing]]-E488)/E488</f>
        <v>6.5838023305919547E-5</v>
      </c>
      <c r="G489" s="2">
        <f>LN(int_data[[#This Row],[closes_ing]]/E488)</f>
        <v>6.583585607830904E-5</v>
      </c>
    </row>
    <row r="490" spans="1:7" x14ac:dyDescent="0.2">
      <c r="A490" s="1">
        <v>45415</v>
      </c>
      <c r="B490">
        <v>88.205844155844105</v>
      </c>
      <c r="C490" s="2">
        <f>(int_data[[#This Row],[closes_alior]]-B489)/B489</f>
        <v>1.9291543824108976E-4</v>
      </c>
      <c r="D490" s="2">
        <f>LN(int_data[[#This Row],[closes_alior]]/B489)</f>
        <v>1.9289683245088306E-4</v>
      </c>
      <c r="E490">
        <v>274.22337662337702</v>
      </c>
      <c r="F490" s="2">
        <f>(int_data[[#This Row],[closes_ing]]-E489)/E489</f>
        <v>6.5833688945972406E-5</v>
      </c>
      <c r="G490" s="2">
        <f>LN(int_data[[#This Row],[closes_ing]]/E489)</f>
        <v>6.5831522003886541E-5</v>
      </c>
    </row>
    <row r="491" spans="1:7" x14ac:dyDescent="0.2">
      <c r="A491" s="1">
        <v>45416</v>
      </c>
      <c r="B491">
        <v>88.222857142857094</v>
      </c>
      <c r="C491" s="2">
        <f>(int_data[[#This Row],[closes_alior]]-B490)/B490</f>
        <v>1.9287822905397149E-4</v>
      </c>
      <c r="D491" s="2">
        <f>LN(int_data[[#This Row],[closes_alior]]/B490)</f>
        <v>1.9285963043974631E-4</v>
      </c>
      <c r="E491">
        <v>274.24142857142903</v>
      </c>
      <c r="F491" s="2">
        <f>(int_data[[#This Row],[closes_ing]]-E490)/E490</f>
        <v>6.5829355156681499E-5</v>
      </c>
      <c r="G491" s="2">
        <f>LN(int_data[[#This Row],[closes_ing]]/E490)</f>
        <v>6.5827188499840308E-5</v>
      </c>
    </row>
    <row r="492" spans="1:7" x14ac:dyDescent="0.2">
      <c r="A492" s="1">
        <v>45417</v>
      </c>
      <c r="B492">
        <v>88.239870129870098</v>
      </c>
      <c r="C492" s="2">
        <f>(int_data[[#This Row],[closes_alior]]-B491)/B491</f>
        <v>1.9284103421696389E-4</v>
      </c>
      <c r="D492" s="2">
        <f>LN(int_data[[#This Row],[closes_alior]]/B491)</f>
        <v>1.9282244277475752E-4</v>
      </c>
      <c r="E492">
        <v>274.25948051948097</v>
      </c>
      <c r="F492" s="2">
        <f>(int_data[[#This Row],[closes_ing]]-E491)/E491</f>
        <v>6.5825021937726877E-5</v>
      </c>
      <c r="G492" s="2">
        <f>LN(int_data[[#This Row],[closes_ing]]/E491)</f>
        <v>6.5822855565948309E-5</v>
      </c>
    </row>
    <row r="493" spans="1:7" x14ac:dyDescent="0.2">
      <c r="A493" s="1">
        <v>45418</v>
      </c>
      <c r="B493">
        <v>88.256883116883103</v>
      </c>
      <c r="C493" s="2">
        <f>(int_data[[#This Row],[closes_alior]]-B492)/B492</f>
        <v>1.9280385372241103E-4</v>
      </c>
      <c r="D493" s="2">
        <f>LN(int_data[[#This Row],[closes_alior]]/B492)</f>
        <v>1.9278526944814821E-4</v>
      </c>
      <c r="E493">
        <v>274.27753246753201</v>
      </c>
      <c r="F493" s="2">
        <f>(int_data[[#This Row],[closes_ing]]-E492)/E492</f>
        <v>6.582068928609427E-5</v>
      </c>
      <c r="G493" s="2">
        <f>LN(int_data[[#This Row],[closes_ing]]/E492)</f>
        <v>6.5818523199546186E-5</v>
      </c>
    </row>
    <row r="494" spans="1:7" x14ac:dyDescent="0.2">
      <c r="A494" s="1">
        <v>45419</v>
      </c>
      <c r="B494">
        <v>88.273896103896107</v>
      </c>
      <c r="C494" s="2">
        <f>(int_data[[#This Row],[closes_alior]]-B493)/B493</f>
        <v>1.9276668756217975E-4</v>
      </c>
      <c r="D494" s="2">
        <f>LN(int_data[[#This Row],[closes_alior]]/B493)</f>
        <v>1.9274811045148392E-4</v>
      </c>
      <c r="E494">
        <v>274.29558441558402</v>
      </c>
      <c r="F494" s="2">
        <f>(int_data[[#This Row],[closes_ing]]-E493)/E493</f>
        <v>6.5816357211619735E-5</v>
      </c>
      <c r="G494" s="2">
        <f>LN(int_data[[#This Row],[closes_ing]]/E493)</f>
        <v>6.5814191410181247E-5</v>
      </c>
    </row>
    <row r="495" spans="1:7" x14ac:dyDescent="0.2">
      <c r="A495" s="1">
        <v>45420</v>
      </c>
      <c r="B495">
        <v>88.290909090909096</v>
      </c>
      <c r="C495" s="2">
        <f>(int_data[[#This Row],[closes_alior]]-B494)/B494</f>
        <v>1.9272953572782109E-4</v>
      </c>
      <c r="D495" s="2">
        <f>LN(int_data[[#This Row],[closes_alior]]/B494)</f>
        <v>1.9271096577677416E-4</v>
      </c>
      <c r="E495">
        <v>274.31363636363602</v>
      </c>
      <c r="F495" s="2">
        <f>(int_data[[#This Row],[closes_ing]]-E494)/E494</f>
        <v>6.5812025703827195E-5</v>
      </c>
      <c r="G495" s="2">
        <f>LN(int_data[[#This Row],[closes_ing]]/E494)</f>
        <v>6.5809860187418073E-5</v>
      </c>
    </row>
    <row r="496" spans="1:7" x14ac:dyDescent="0.2">
      <c r="A496" s="1">
        <v>45421</v>
      </c>
      <c r="B496">
        <v>88.3079220779221</v>
      </c>
      <c r="C496" s="2">
        <f>(int_data[[#This Row],[closes_alior]]-B495)/B495</f>
        <v>1.9269239821153648E-4</v>
      </c>
      <c r="D496" s="2">
        <f>LN(int_data[[#This Row],[closes_alior]]/B495)</f>
        <v>1.9267383541602849E-4</v>
      </c>
      <c r="E496">
        <v>274.33168831168803</v>
      </c>
      <c r="F496" s="2">
        <f>(int_data[[#This Row],[closes_ing]]-E495)/E495</f>
        <v>6.5807694766127742E-5</v>
      </c>
      <c r="G496" s="2">
        <f>LN(int_data[[#This Row],[closes_ing]]/E495)</f>
        <v>6.5805529534809174E-5</v>
      </c>
    </row>
    <row r="497" spans="1:7" x14ac:dyDescent="0.2">
      <c r="A497" s="1">
        <v>45422</v>
      </c>
      <c r="B497">
        <v>88.324935064935104</v>
      </c>
      <c r="C497" s="2">
        <f>(int_data[[#This Row],[closes_alior]]-B496)/B496</f>
        <v>1.9265527500456775E-4</v>
      </c>
      <c r="D497" s="2">
        <f>LN(int_data[[#This Row],[closes_alior]]/B496)</f>
        <v>1.9263671936036841E-4</v>
      </c>
      <c r="E497">
        <v>274.34974025973997</v>
      </c>
      <c r="F497" s="2">
        <f>(int_data[[#This Row],[closes_ing]]-E496)/E496</f>
        <v>6.5803364398201616E-5</v>
      </c>
      <c r="G497" s="2">
        <f>LN(int_data[[#This Row],[closes_ing]]/E496)</f>
        <v>6.5801199451688457E-5</v>
      </c>
    </row>
    <row r="498" spans="1:7" x14ac:dyDescent="0.2">
      <c r="A498" s="1">
        <v>45423</v>
      </c>
      <c r="B498">
        <v>88.341948051948094</v>
      </c>
      <c r="C498" s="2">
        <f>(int_data[[#This Row],[closes_alior]]-B497)/B497</f>
        <v>1.9261816609864621E-4</v>
      </c>
      <c r="D498" s="2">
        <f>LN(int_data[[#This Row],[closes_alior]]/B497)</f>
        <v>1.9259961760158145E-4</v>
      </c>
      <c r="E498">
        <v>274.36779220779198</v>
      </c>
      <c r="F498" s="2">
        <f>(int_data[[#This Row],[closes_ing]]-E497)/E497</f>
        <v>6.5799034600557958E-5</v>
      </c>
      <c r="G498" s="2">
        <f>LN(int_data[[#This Row],[closes_ing]]/E497)</f>
        <v>6.5796869938944047E-5</v>
      </c>
    </row>
    <row r="499" spans="1:7" x14ac:dyDescent="0.2">
      <c r="A499" s="1">
        <v>45424</v>
      </c>
      <c r="B499">
        <v>88.358961038960999</v>
      </c>
      <c r="C499" s="2">
        <f>(int_data[[#This Row],[closes_alior]]-B498)/B498</f>
        <v>1.9258107148486611E-4</v>
      </c>
      <c r="D499" s="2">
        <f>LN(int_data[[#This Row],[closes_alior]]/B498)</f>
        <v>1.9256253013078911E-4</v>
      </c>
      <c r="E499">
        <v>274.38584415584398</v>
      </c>
      <c r="F499" s="2">
        <f>(int_data[[#This Row],[closes_ing]]-E498)/E498</f>
        <v>6.5794705372462616E-5</v>
      </c>
      <c r="G499" s="2">
        <f>LN(int_data[[#This Row],[closes_ing]]/E498)</f>
        <v>6.5792540995687833E-5</v>
      </c>
    </row>
    <row r="500" spans="1:7" x14ac:dyDescent="0.2">
      <c r="A500" s="1">
        <v>45425</v>
      </c>
      <c r="B500">
        <v>88.375974025974003</v>
      </c>
      <c r="C500" s="2">
        <f>(int_data[[#This Row],[closes_alior]]-B499)/B499</f>
        <v>1.9254399115786701E-4</v>
      </c>
      <c r="D500" s="2">
        <f>LN(int_data[[#This Row],[closes_alior]]/B499)</f>
        <v>1.9252545694266497E-4</v>
      </c>
      <c r="E500">
        <v>274.40389610389599</v>
      </c>
      <c r="F500" s="2">
        <f>(int_data[[#This Row],[closes_ing]]-E499)/E499</f>
        <v>6.5790376714010374E-5</v>
      </c>
      <c r="G500" s="2">
        <f>LN(int_data[[#This Row],[closes_ing]]/E499)</f>
        <v>6.5788212622141859E-5</v>
      </c>
    </row>
    <row r="501" spans="1:7" x14ac:dyDescent="0.2">
      <c r="A501" s="1">
        <v>45426</v>
      </c>
      <c r="B501">
        <v>88.392987012987007</v>
      </c>
      <c r="C501" s="2">
        <f>(int_data[[#This Row],[closes_alior]]-B500)/B500</f>
        <v>1.9250692510618152E-4</v>
      </c>
      <c r="D501" s="2">
        <f>LN(int_data[[#This Row],[closes_alior]]/B500)</f>
        <v>1.9248839802566651E-4</v>
      </c>
      <c r="E501">
        <v>274.42194805194799</v>
      </c>
      <c r="F501" s="2">
        <f>(int_data[[#This Row],[closes_ing]]-E500)/E500</f>
        <v>6.5786048625088802E-5</v>
      </c>
      <c r="G501" s="2">
        <f>LN(int_data[[#This Row],[closes_ing]]/E500)</f>
        <v>6.5783884817862063E-5</v>
      </c>
    </row>
    <row r="502" spans="1:7" x14ac:dyDescent="0.2">
      <c r="A502" s="1">
        <v>45427</v>
      </c>
      <c r="B502">
        <v>88.41</v>
      </c>
      <c r="C502" s="2">
        <f>(int_data[[#This Row],[closes_alior]]-B501)/B501</f>
        <v>1.9246987332253185E-4</v>
      </c>
      <c r="D502" s="2">
        <f>LN(int_data[[#This Row],[closes_alior]]/B501)</f>
        <v>1.9245135337269125E-4</v>
      </c>
      <c r="E502">
        <v>274.44</v>
      </c>
      <c r="F502" s="2">
        <f>(int_data[[#This Row],[closes_ing]]-E501)/E501</f>
        <v>6.5781721105585508E-5</v>
      </c>
      <c r="G502" s="2">
        <f>LN(int_data[[#This Row],[closes_ing]]/E501)</f>
        <v>6.5779557583070476E-5</v>
      </c>
    </row>
    <row r="503" spans="1:7" x14ac:dyDescent="0.2">
      <c r="A503" s="1">
        <v>45428</v>
      </c>
      <c r="B503">
        <v>86.74</v>
      </c>
      <c r="C503" s="2">
        <f>(int_data[[#This Row],[closes_alior]]-B502)/B502</f>
        <v>-1.8889265920144799E-2</v>
      </c>
      <c r="D503" s="2">
        <f>LN(int_data[[#This Row],[closes_alior]]/B502)</f>
        <v>-1.9069947010492926E-2</v>
      </c>
      <c r="E503">
        <v>270.74</v>
      </c>
      <c r="F503" s="2">
        <f>(int_data[[#This Row],[closes_ing]]-E502)/E502</f>
        <v>-1.3481999708497262E-2</v>
      </c>
      <c r="G503" s="2">
        <f>LN(int_data[[#This Row],[closes_ing]]/E502)</f>
        <v>-1.3573707065049918E-2</v>
      </c>
    </row>
    <row r="504" spans="1:7" x14ac:dyDescent="0.2">
      <c r="A504" s="1">
        <v>45429</v>
      </c>
      <c r="B504">
        <v>86.56</v>
      </c>
      <c r="C504" s="2">
        <f>(int_data[[#This Row],[closes_alior]]-B503)/B503</f>
        <v>-2.0751671662438621E-3</v>
      </c>
      <c r="D504" s="2">
        <f>LN(int_data[[#This Row],[closes_alior]]/B503)</f>
        <v>-2.0773233090487348E-3</v>
      </c>
      <c r="E504">
        <v>269.35000000000002</v>
      </c>
      <c r="F504" s="2">
        <f>(int_data[[#This Row],[closes_ing]]-E503)/E503</f>
        <v>-5.1340769742187573E-3</v>
      </c>
      <c r="G504" s="2">
        <f>LN(int_data[[#This Row],[closes_ing]]/E503)</f>
        <v>-5.1473016310973228E-3</v>
      </c>
    </row>
    <row r="505" spans="1:7" x14ac:dyDescent="0.2">
      <c r="A505" s="1">
        <v>45430</v>
      </c>
      <c r="B505">
        <v>86.903333333333293</v>
      </c>
      <c r="C505" s="2">
        <f>(int_data[[#This Row],[closes_alior]]-B504)/B504</f>
        <v>3.9664202094881135E-3</v>
      </c>
      <c r="D505" s="2">
        <f>LN(int_data[[#This Row],[closes_alior]]/B504)</f>
        <v>3.9585747037212595E-3</v>
      </c>
      <c r="E505">
        <v>269.04000000000002</v>
      </c>
      <c r="F505" s="2">
        <f>(int_data[[#This Row],[closes_ing]]-E504)/E504</f>
        <v>-1.1509188787822619E-3</v>
      </c>
      <c r="G505" s="2">
        <f>LN(int_data[[#This Row],[closes_ing]]/E504)</f>
        <v>-1.1515816945286154E-3</v>
      </c>
    </row>
    <row r="506" spans="1:7" x14ac:dyDescent="0.2">
      <c r="A506" s="1">
        <v>45431</v>
      </c>
      <c r="B506">
        <v>87.246666666666698</v>
      </c>
      <c r="C506" s="2">
        <f>(int_data[[#This Row],[closes_alior]]-B505)/B505</f>
        <v>3.9507498753412404E-3</v>
      </c>
      <c r="D506" s="2">
        <f>LN(int_data[[#This Row],[closes_alior]]/B505)</f>
        <v>3.942966157332476E-3</v>
      </c>
      <c r="E506">
        <v>268.73</v>
      </c>
      <c r="F506" s="2">
        <f>(int_data[[#This Row],[closes_ing]]-E505)/E505</f>
        <v>-1.1522450193279894E-3</v>
      </c>
      <c r="G506" s="2">
        <f>LN(int_data[[#This Row],[closes_ing]]/E505)</f>
        <v>-1.1529093639945167E-3</v>
      </c>
    </row>
    <row r="507" spans="1:7" x14ac:dyDescent="0.2">
      <c r="A507" s="1">
        <v>45432</v>
      </c>
      <c r="B507">
        <v>87.59</v>
      </c>
      <c r="C507" s="2">
        <f>(int_data[[#This Row],[closes_alior]]-B506)/B506</f>
        <v>3.9352028730798329E-3</v>
      </c>
      <c r="D507" s="2">
        <f>LN(int_data[[#This Row],[closes_alior]]/B506)</f>
        <v>3.9274802157725063E-3</v>
      </c>
      <c r="E507">
        <v>268.42</v>
      </c>
      <c r="F507" s="2">
        <f>(int_data[[#This Row],[closes_ing]]-E506)/E506</f>
        <v>-1.1535742194768066E-3</v>
      </c>
      <c r="G507" s="2">
        <f>LN(int_data[[#This Row],[closes_ing]]/E506)</f>
        <v>-1.154240098359804E-3</v>
      </c>
    </row>
    <row r="508" spans="1:7" x14ac:dyDescent="0.2">
      <c r="A508" s="1">
        <v>45433</v>
      </c>
      <c r="B508">
        <v>86.25</v>
      </c>
      <c r="C508" s="2">
        <f>(int_data[[#This Row],[closes_alior]]-B507)/B507</f>
        <v>-1.5298550062792595E-2</v>
      </c>
      <c r="D508" s="2">
        <f>LN(int_data[[#This Row],[closes_alior]]/B507)</f>
        <v>-1.5416780263528487E-2</v>
      </c>
      <c r="E508">
        <v>266.11</v>
      </c>
      <c r="F508" s="2">
        <f>(int_data[[#This Row],[closes_ing]]-E507)/E507</f>
        <v>-8.6059161016317793E-3</v>
      </c>
      <c r="G508" s="2">
        <f>LN(int_data[[#This Row],[closes_ing]]/E507)</f>
        <v>-8.6431608349249404E-3</v>
      </c>
    </row>
    <row r="509" spans="1:7" x14ac:dyDescent="0.2">
      <c r="A509" s="1">
        <v>45434</v>
      </c>
      <c r="B509">
        <v>85.3</v>
      </c>
      <c r="C509" s="2">
        <f>(int_data[[#This Row],[closes_alior]]-B508)/B508</f>
        <v>-1.1014492753623222E-2</v>
      </c>
      <c r="D509" s="2">
        <f>LN(int_data[[#This Row],[closes_alior]]/B508)</f>
        <v>-1.1075601413835722E-2</v>
      </c>
      <c r="E509">
        <v>265.64999999999998</v>
      </c>
      <c r="F509" s="2">
        <f>(int_data[[#This Row],[closes_ing]]-E508)/E508</f>
        <v>-1.7286084701816406E-3</v>
      </c>
      <c r="G509" s="2">
        <f>LN(int_data[[#This Row],[closes_ing]]/E508)</f>
        <v>-1.7301042377827918E-3</v>
      </c>
    </row>
    <row r="510" spans="1:7" x14ac:dyDescent="0.2">
      <c r="A510" s="1">
        <v>45435</v>
      </c>
      <c r="B510">
        <v>86.63</v>
      </c>
      <c r="C510" s="2">
        <f>(int_data[[#This Row],[closes_alior]]-B509)/B509</f>
        <v>1.5592028135990602E-2</v>
      </c>
      <c r="D510" s="2">
        <f>LN(int_data[[#This Row],[closes_alior]]/B509)</f>
        <v>1.547172140441557E-2</v>
      </c>
      <c r="E510">
        <v>273.05</v>
      </c>
      <c r="F510" s="2">
        <f>(int_data[[#This Row],[closes_ing]]-E509)/E509</f>
        <v>2.785620176924538E-2</v>
      </c>
      <c r="G510" s="2">
        <f>LN(int_data[[#This Row],[closes_ing]]/E509)</f>
        <v>2.7475275701210628E-2</v>
      </c>
    </row>
    <row r="511" spans="1:7" x14ac:dyDescent="0.2">
      <c r="A511" s="1">
        <v>45436</v>
      </c>
      <c r="B511">
        <v>86.38</v>
      </c>
      <c r="C511" s="2">
        <f>(int_data[[#This Row],[closes_alior]]-B510)/B510</f>
        <v>-2.8858363153641928E-3</v>
      </c>
      <c r="D511" s="2">
        <f>LN(int_data[[#This Row],[closes_alior]]/B510)</f>
        <v>-2.8900083694938837E-3</v>
      </c>
      <c r="E511">
        <v>270.27</v>
      </c>
      <c r="F511" s="2">
        <f>(int_data[[#This Row],[closes_ing]]-E510)/E510</f>
        <v>-1.0181285478850135E-2</v>
      </c>
      <c r="G511" s="2">
        <f>LN(int_data[[#This Row],[closes_ing]]/E510)</f>
        <v>-1.0233469266704496E-2</v>
      </c>
    </row>
    <row r="512" spans="1:7" x14ac:dyDescent="0.2">
      <c r="A512" s="1">
        <v>45437</v>
      </c>
      <c r="B512">
        <v>86.553333333333299</v>
      </c>
      <c r="C512" s="2">
        <f>(int_data[[#This Row],[closes_alior]]-B511)/B511</f>
        <v>2.006637338889831E-3</v>
      </c>
      <c r="D512" s="2">
        <f>LN(int_data[[#This Row],[closes_alior]]/B511)</f>
        <v>2.0046267314422854E-3</v>
      </c>
      <c r="E512">
        <v>272.43</v>
      </c>
      <c r="F512" s="2">
        <f>(int_data[[#This Row],[closes_ing]]-E511)/E511</f>
        <v>7.9920079920080857E-3</v>
      </c>
      <c r="G512" s="2">
        <f>LN(int_data[[#This Row],[closes_ing]]/E511)</f>
        <v>7.9602410383885439E-3</v>
      </c>
    </row>
    <row r="513" spans="1:7" x14ac:dyDescent="0.2">
      <c r="A513" s="1">
        <v>45438</v>
      </c>
      <c r="B513">
        <v>86.726666666666702</v>
      </c>
      <c r="C513" s="2">
        <f>(int_data[[#This Row],[closes_alior]]-B512)/B512</f>
        <v>2.0026188092128528E-3</v>
      </c>
      <c r="D513" s="2">
        <f>LN(int_data[[#This Row],[closes_alior]]/B512)</f>
        <v>2.0006162413063783E-3</v>
      </c>
      <c r="E513">
        <v>274.58999999999997</v>
      </c>
      <c r="F513" s="2">
        <f>(int_data[[#This Row],[closes_ing]]-E512)/E512</f>
        <v>7.9286422200197052E-3</v>
      </c>
      <c r="G513" s="2">
        <f>LN(int_data[[#This Row],[closes_ing]]/E512)</f>
        <v>7.8973756949509404E-3</v>
      </c>
    </row>
    <row r="514" spans="1:7" x14ac:dyDescent="0.2">
      <c r="A514" s="1">
        <v>45439</v>
      </c>
      <c r="B514">
        <v>86.9</v>
      </c>
      <c r="C514" s="2">
        <f>(int_data[[#This Row],[closes_alior]]-B513)/B513</f>
        <v>1.9986163425317494E-3</v>
      </c>
      <c r="D514" s="2">
        <f>LN(int_data[[#This Row],[closes_alior]]/B513)</f>
        <v>1.9966217660428174E-3</v>
      </c>
      <c r="E514">
        <v>276.75</v>
      </c>
      <c r="F514" s="2">
        <f>(int_data[[#This Row],[closes_ing]]-E513)/E513</f>
        <v>7.8662733529991091E-3</v>
      </c>
      <c r="G514" s="2">
        <f>LN(int_data[[#This Row],[closes_ing]]/E513)</f>
        <v>7.8354955239486376E-3</v>
      </c>
    </row>
    <row r="515" spans="1:7" x14ac:dyDescent="0.2">
      <c r="A515" s="1">
        <v>45440</v>
      </c>
      <c r="B515">
        <v>86.32</v>
      </c>
      <c r="C515" s="2">
        <f>(int_data[[#This Row],[closes_alior]]-B514)/B514</f>
        <v>-6.6743383199080837E-3</v>
      </c>
      <c r="D515" s="2">
        <f>LN(int_data[[#This Row],[closes_alior]]/B514)</f>
        <v>-6.696711321467241E-3</v>
      </c>
      <c r="E515">
        <v>273.51</v>
      </c>
      <c r="F515" s="2">
        <f>(int_data[[#This Row],[closes_ing]]-E514)/E514</f>
        <v>-1.1707317073170765E-2</v>
      </c>
      <c r="G515" s="2">
        <f>LN(int_data[[#This Row],[closes_ing]]/E514)</f>
        <v>-1.1776387323825183E-2</v>
      </c>
    </row>
    <row r="516" spans="1:7" x14ac:dyDescent="0.2">
      <c r="A516" s="1">
        <v>45441</v>
      </c>
      <c r="B516">
        <v>84.71</v>
      </c>
      <c r="C516" s="2">
        <f>(int_data[[#This Row],[closes_alior]]-B515)/B515</f>
        <v>-1.8651529193697863E-2</v>
      </c>
      <c r="D516" s="2">
        <f>LN(int_data[[#This Row],[closes_alior]]/B515)</f>
        <v>-1.8827662506419623E-2</v>
      </c>
      <c r="E516">
        <v>277.68</v>
      </c>
      <c r="F516" s="2">
        <f>(int_data[[#This Row],[closes_ing]]-E515)/E515</f>
        <v>1.5246243281781346E-2</v>
      </c>
      <c r="G516" s="2">
        <f>LN(int_data[[#This Row],[closes_ing]]/E515)</f>
        <v>1.513118728860971E-2</v>
      </c>
    </row>
    <row r="517" spans="1:7" x14ac:dyDescent="0.2">
      <c r="A517" s="1">
        <v>45442</v>
      </c>
      <c r="B517">
        <v>85.814999999999998</v>
      </c>
      <c r="C517" s="2">
        <f>(int_data[[#This Row],[closes_alior]]-B516)/B516</f>
        <v>1.3044504781017638E-2</v>
      </c>
      <c r="D517" s="2">
        <f>LN(int_data[[#This Row],[closes_alior]]/B516)</f>
        <v>1.2960157945142325E-2</v>
      </c>
      <c r="E517">
        <v>276.29000000000002</v>
      </c>
      <c r="F517" s="2">
        <f>(int_data[[#This Row],[closes_ing]]-E516)/E516</f>
        <v>-5.0057620282338887E-3</v>
      </c>
      <c r="G517" s="2">
        <f>LN(int_data[[#This Row],[closes_ing]]/E516)</f>
        <v>-5.0183328234617219E-3</v>
      </c>
    </row>
    <row r="518" spans="1:7" x14ac:dyDescent="0.2">
      <c r="A518" s="1">
        <v>45443</v>
      </c>
      <c r="B518">
        <v>86.92</v>
      </c>
      <c r="C518" s="2">
        <f>(int_data[[#This Row],[closes_alior]]-B517)/B517</f>
        <v>1.2876536736001911E-2</v>
      </c>
      <c r="D518" s="2">
        <f>LN(int_data[[#This Row],[closes_alior]]/B517)</f>
        <v>1.2794338999627227E-2</v>
      </c>
      <c r="E518">
        <v>274.89999999999998</v>
      </c>
      <c r="F518" s="2">
        <f>(int_data[[#This Row],[closes_ing]]-E517)/E517</f>
        <v>-5.0309457454125852E-3</v>
      </c>
      <c r="G518" s="2">
        <f>LN(int_data[[#This Row],[closes_ing]]/E517)</f>
        <v>-5.0436435588692222E-3</v>
      </c>
    </row>
    <row r="519" spans="1:7" x14ac:dyDescent="0.2">
      <c r="A519" s="1">
        <v>45444</v>
      </c>
      <c r="B519">
        <v>87.253333333333302</v>
      </c>
      <c r="C519" s="2">
        <f>(int_data[[#This Row],[closes_alior]]-B518)/B518</f>
        <v>3.834944009817075E-3</v>
      </c>
      <c r="D519" s="2">
        <f>LN(int_data[[#This Row],[closes_alior]]/B518)</f>
        <v>3.8276093580432969E-3</v>
      </c>
      <c r="E519">
        <v>276.29000000000002</v>
      </c>
      <c r="F519" s="2">
        <f>(int_data[[#This Row],[closes_ing]]-E518)/E518</f>
        <v>5.0563841396873161E-3</v>
      </c>
      <c r="G519" s="2">
        <f>LN(int_data[[#This Row],[closes_ing]]/E518)</f>
        <v>5.0436435588692031E-3</v>
      </c>
    </row>
    <row r="520" spans="1:7" x14ac:dyDescent="0.2">
      <c r="A520" s="1">
        <v>45445</v>
      </c>
      <c r="B520">
        <v>87.586666666666702</v>
      </c>
      <c r="C520" s="2">
        <f>(int_data[[#This Row],[closes_alior]]-B519)/B519</f>
        <v>3.8202933985337687E-3</v>
      </c>
      <c r="D520" s="2">
        <f>LN(int_data[[#This Row],[closes_alior]]/B519)</f>
        <v>3.8130146098907971E-3</v>
      </c>
      <c r="E520">
        <v>277.68</v>
      </c>
      <c r="F520" s="2">
        <f>(int_data[[#This Row],[closes_ing]]-E519)/E519</f>
        <v>5.0309457454123796E-3</v>
      </c>
      <c r="G520" s="2">
        <f>LN(int_data[[#This Row],[closes_ing]]/E519)</f>
        <v>5.0183328234616447E-3</v>
      </c>
    </row>
    <row r="521" spans="1:7" x14ac:dyDescent="0.2">
      <c r="A521" s="1">
        <v>45446</v>
      </c>
      <c r="B521">
        <v>87.92</v>
      </c>
      <c r="C521" s="2">
        <f>(int_data[[#This Row],[closes_alior]]-B520)/B520</f>
        <v>3.8057543005019794E-3</v>
      </c>
      <c r="D521" s="2">
        <f>LN(int_data[[#This Row],[closes_alior]]/B520)</f>
        <v>3.7985307392029576E-3</v>
      </c>
      <c r="E521">
        <v>279.07</v>
      </c>
      <c r="F521" s="2">
        <f>(int_data[[#This Row],[closes_ing]]-E520)/E520</f>
        <v>5.0057620282338887E-3</v>
      </c>
      <c r="G521" s="2">
        <f>LN(int_data[[#This Row],[closes_ing]]/E520)</f>
        <v>4.9932748560302812E-3</v>
      </c>
    </row>
    <row r="522" spans="1:7" x14ac:dyDescent="0.2">
      <c r="A522" s="1">
        <v>45447</v>
      </c>
      <c r="B522">
        <v>83.14</v>
      </c>
      <c r="C522" s="2">
        <f>(int_data[[#This Row],[closes_alior]]-B521)/B521</f>
        <v>-5.4367606915377627E-2</v>
      </c>
      <c r="D522" s="2">
        <f>LN(int_data[[#This Row],[closes_alior]]/B521)</f>
        <v>-5.5901376270874603E-2</v>
      </c>
      <c r="E522">
        <v>266.57</v>
      </c>
      <c r="F522" s="2">
        <f>(int_data[[#This Row],[closes_ing]]-E521)/E521</f>
        <v>-4.4791629340308885E-2</v>
      </c>
      <c r="G522" s="2">
        <f>LN(int_data[[#This Row],[closes_ing]]/E521)</f>
        <v>-4.5825773128751031E-2</v>
      </c>
    </row>
    <row r="523" spans="1:7" x14ac:dyDescent="0.2">
      <c r="A523" s="1">
        <v>45448</v>
      </c>
      <c r="B523">
        <v>84.67</v>
      </c>
      <c r="C523" s="2">
        <f>(int_data[[#This Row],[closes_alior]]-B522)/B522</f>
        <v>1.8402694250661548E-2</v>
      </c>
      <c r="D523" s="2">
        <f>LN(int_data[[#This Row],[closes_alior]]/B522)</f>
        <v>1.8235413829694576E-2</v>
      </c>
      <c r="E523">
        <v>273.51</v>
      </c>
      <c r="F523" s="2">
        <f>(int_data[[#This Row],[closes_ing]]-E522)/E522</f>
        <v>2.6034437483587792E-2</v>
      </c>
      <c r="G523" s="2">
        <f>LN(int_data[[#This Row],[closes_ing]]/E522)</f>
        <v>2.5701310984110947E-2</v>
      </c>
    </row>
    <row r="524" spans="1:7" x14ac:dyDescent="0.2">
      <c r="A524" s="1">
        <v>45449</v>
      </c>
      <c r="B524">
        <v>85.07</v>
      </c>
      <c r="C524" s="2">
        <f>(int_data[[#This Row],[closes_alior]]-B523)/B523</f>
        <v>4.7242234557693568E-3</v>
      </c>
      <c r="D524" s="2">
        <f>LN(int_data[[#This Row],[closes_alior]]/B523)</f>
        <v>4.7130993336070631E-3</v>
      </c>
      <c r="E524">
        <v>265.18</v>
      </c>
      <c r="F524" s="2">
        <f>(int_data[[#This Row],[closes_ing]]-E523)/E523</f>
        <v>-3.0455924829073833E-2</v>
      </c>
      <c r="G524" s="2">
        <f>LN(int_data[[#This Row],[closes_ing]]/E523)</f>
        <v>-3.0929343578348374E-2</v>
      </c>
    </row>
    <row r="525" spans="1:7" x14ac:dyDescent="0.2">
      <c r="A525" s="1">
        <v>45450</v>
      </c>
      <c r="B525">
        <v>83.58</v>
      </c>
      <c r="C525" s="2">
        <f>(int_data[[#This Row],[closes_alior]]-B524)/B524</f>
        <v>-1.7514987657223403E-2</v>
      </c>
      <c r="D525" s="2">
        <f>LN(int_data[[#This Row],[closes_alior]]/B524)</f>
        <v>-1.7670189968023536E-2</v>
      </c>
      <c r="E525">
        <v>265.18</v>
      </c>
      <c r="F525" s="2">
        <f>(int_data[[#This Row],[closes_ing]]-E524)/E524</f>
        <v>0</v>
      </c>
      <c r="G525" s="2">
        <f>LN(int_data[[#This Row],[closes_ing]]/E524)</f>
        <v>0</v>
      </c>
    </row>
    <row r="526" spans="1:7" x14ac:dyDescent="0.2">
      <c r="A526" s="1">
        <v>45451</v>
      </c>
      <c r="B526">
        <v>83.536666666666704</v>
      </c>
      <c r="C526" s="2">
        <f>(int_data[[#This Row],[closes_alior]]-B525)/B525</f>
        <v>-5.1846534258547406E-4</v>
      </c>
      <c r="D526" s="2">
        <f>LN(int_data[[#This Row],[closes_alior]]/B525)</f>
        <v>-5.1859979221487184E-4</v>
      </c>
      <c r="E526">
        <v>265.79666666666702</v>
      </c>
      <c r="F526" s="2">
        <f>(int_data[[#This Row],[closes_ing]]-E525)/E525</f>
        <v>2.3254644643902833E-3</v>
      </c>
      <c r="G526" s="2">
        <f>LN(int_data[[#This Row],[closes_ing]]/E525)</f>
        <v>2.3227647564757589E-3</v>
      </c>
    </row>
    <row r="527" spans="1:7" x14ac:dyDescent="0.2">
      <c r="A527" s="1">
        <v>45452</v>
      </c>
      <c r="B527">
        <v>83.493333333333297</v>
      </c>
      <c r="C527" s="2">
        <f>(int_data[[#This Row],[closes_alior]]-B526)/B526</f>
        <v>-5.1873428833734789E-4</v>
      </c>
      <c r="D527" s="2">
        <f>LN(int_data[[#This Row],[closes_alior]]/B526)</f>
        <v>-5.1886887751434962E-4</v>
      </c>
      <c r="E527">
        <v>266.41333333333301</v>
      </c>
      <c r="F527" s="2">
        <f>(int_data[[#This Row],[closes_ing]]-E526)/E526</f>
        <v>2.3200692258467923E-3</v>
      </c>
      <c r="G527" s="2">
        <f>LN(int_data[[#This Row],[closes_ing]]/E526)</f>
        <v>2.3173820207722921E-3</v>
      </c>
    </row>
    <row r="528" spans="1:7" x14ac:dyDescent="0.2">
      <c r="A528" s="1">
        <v>45453</v>
      </c>
      <c r="B528">
        <v>83.45</v>
      </c>
      <c r="C528" s="2">
        <f>(int_data[[#This Row],[closes_alior]]-B527)/B527</f>
        <v>-5.1900351325407941E-4</v>
      </c>
      <c r="D528" s="2">
        <f>LN(int_data[[#This Row],[closes_alior]]/B527)</f>
        <v>-5.1913824219599952E-4</v>
      </c>
      <c r="E528">
        <v>267.02999999999997</v>
      </c>
      <c r="F528" s="2">
        <f>(int_data[[#This Row],[closes_ing]]-E527)/E527</f>
        <v>2.3146989640169132E-3</v>
      </c>
      <c r="G528" s="2">
        <f>LN(int_data[[#This Row],[closes_ing]]/E527)</f>
        <v>2.3120241751286609E-3</v>
      </c>
    </row>
    <row r="529" spans="1:7" x14ac:dyDescent="0.2">
      <c r="A529" s="1">
        <v>45454</v>
      </c>
      <c r="B529">
        <v>82.07</v>
      </c>
      <c r="C529" s="2">
        <f>(int_data[[#This Row],[closes_alior]]-B528)/B528</f>
        <v>-1.6536848412223002E-2</v>
      </c>
      <c r="D529" s="2">
        <f>LN(int_data[[#This Row],[closes_alior]]/B528)</f>
        <v>-1.6675108466223939E-2</v>
      </c>
      <c r="E529">
        <v>259.17</v>
      </c>
      <c r="F529" s="2">
        <f>(int_data[[#This Row],[closes_ing]]-E528)/E528</f>
        <v>-2.9434894955622806E-2</v>
      </c>
      <c r="G529" s="2">
        <f>LN(int_data[[#This Row],[closes_ing]]/E528)</f>
        <v>-2.9876794600047153E-2</v>
      </c>
    </row>
    <row r="530" spans="1:7" x14ac:dyDescent="0.2">
      <c r="A530" s="1">
        <v>45455</v>
      </c>
      <c r="B530">
        <v>85.87</v>
      </c>
      <c r="C530" s="2">
        <f>(int_data[[#This Row],[closes_alior]]-B529)/B529</f>
        <v>4.6301937370537491E-2</v>
      </c>
      <c r="D530" s="2">
        <f>LN(int_data[[#This Row],[closes_alior]]/B529)</f>
        <v>4.5261983042773297E-2</v>
      </c>
      <c r="E530">
        <v>263.33</v>
      </c>
      <c r="F530" s="2">
        <f>(int_data[[#This Row],[closes_ing]]-E529)/E529</f>
        <v>1.6051240498514363E-2</v>
      </c>
      <c r="G530" s="2">
        <f>LN(int_data[[#This Row],[closes_ing]]/E529)</f>
        <v>1.5923781446090836E-2</v>
      </c>
    </row>
    <row r="531" spans="1:7" x14ac:dyDescent="0.2">
      <c r="A531" s="1">
        <v>45456</v>
      </c>
      <c r="B531">
        <v>82.69</v>
      </c>
      <c r="C531" s="2">
        <f>(int_data[[#This Row],[closes_alior]]-B530)/B530</f>
        <v>-3.7032723884942435E-2</v>
      </c>
      <c r="D531" s="2">
        <f>LN(int_data[[#This Row],[closes_alior]]/B530)</f>
        <v>-3.7735848950318084E-2</v>
      </c>
      <c r="E531">
        <v>256.85000000000002</v>
      </c>
      <c r="F531" s="2">
        <f>(int_data[[#This Row],[closes_ing]]-E530)/E530</f>
        <v>-2.4607906429195161E-2</v>
      </c>
      <c r="G531" s="2">
        <f>LN(int_data[[#This Row],[closes_ing]]/E530)</f>
        <v>-2.4915741571716363E-2</v>
      </c>
    </row>
    <row r="532" spans="1:7" x14ac:dyDescent="0.2">
      <c r="A532" s="1">
        <v>45457</v>
      </c>
      <c r="B532">
        <v>82.87</v>
      </c>
      <c r="C532" s="2">
        <f>(int_data[[#This Row],[closes_alior]]-B531)/B531</f>
        <v>2.1768049340912666E-3</v>
      </c>
      <c r="D532" s="2">
        <f>LN(int_data[[#This Row],[closes_alior]]/B531)</f>
        <v>2.1744391268759332E-3</v>
      </c>
      <c r="E532">
        <v>256.85000000000002</v>
      </c>
      <c r="F532" s="2">
        <f>(int_data[[#This Row],[closes_ing]]-E531)/E531</f>
        <v>0</v>
      </c>
      <c r="G532" s="2">
        <f>LN(int_data[[#This Row],[closes_ing]]/E531)</f>
        <v>0</v>
      </c>
    </row>
    <row r="533" spans="1:7" x14ac:dyDescent="0.2">
      <c r="A533" s="1">
        <v>45458</v>
      </c>
      <c r="B533">
        <v>83.263333333333307</v>
      </c>
      <c r="C533" s="2">
        <f>(int_data[[#This Row],[closes_alior]]-B532)/B532</f>
        <v>4.7463899279993052E-3</v>
      </c>
      <c r="D533" s="2">
        <f>LN(int_data[[#This Row],[closes_alior]]/B532)</f>
        <v>4.7351613354927637E-3</v>
      </c>
      <c r="E533">
        <v>258.85666666666702</v>
      </c>
      <c r="F533" s="2">
        <f>(int_data[[#This Row],[closes_ing]]-E532)/E532</f>
        <v>7.8126013886198227E-3</v>
      </c>
      <c r="G533" s="2">
        <f>LN(int_data[[#This Row],[closes_ing]]/E532)</f>
        <v>7.7822410447113185E-3</v>
      </c>
    </row>
    <row r="534" spans="1:7" x14ac:dyDescent="0.2">
      <c r="A534" s="1">
        <v>45459</v>
      </c>
      <c r="B534">
        <v>83.656666666666695</v>
      </c>
      <c r="C534" s="2">
        <f>(int_data[[#This Row],[closes_alior]]-B533)/B533</f>
        <v>4.7239681332325693E-3</v>
      </c>
      <c r="D534" s="2">
        <f>LN(int_data[[#This Row],[closes_alior]]/B533)</f>
        <v>4.7128452115670332E-3</v>
      </c>
      <c r="E534">
        <v>260.863333333333</v>
      </c>
      <c r="F534" s="2">
        <f>(int_data[[#This Row],[closes_ing]]-E533)/E533</f>
        <v>7.7520378072780654E-3</v>
      </c>
      <c r="G534" s="2">
        <f>LN(int_data[[#This Row],[closes_ing]]/E533)</f>
        <v>7.7221451488196785E-3</v>
      </c>
    </row>
    <row r="535" spans="1:7" x14ac:dyDescent="0.2">
      <c r="A535" s="1">
        <v>45460</v>
      </c>
      <c r="B535">
        <v>84.05</v>
      </c>
      <c r="C535" s="2">
        <f>(int_data[[#This Row],[closes_alior]]-B534)/B534</f>
        <v>4.7017571821329519E-3</v>
      </c>
      <c r="D535" s="2">
        <f>LN(int_data[[#This Row],[closes_alior]]/B534)</f>
        <v>4.6907384466137146E-3</v>
      </c>
      <c r="E535">
        <v>262.87</v>
      </c>
      <c r="F535" s="2">
        <f>(int_data[[#This Row],[closes_ing]]-E534)/E534</f>
        <v>7.6924059852553862E-3</v>
      </c>
      <c r="G535" s="2">
        <f>LN(int_data[[#This Row],[closes_ing]]/E534)</f>
        <v>7.6629702881842749E-3</v>
      </c>
    </row>
    <row r="536" spans="1:7" x14ac:dyDescent="0.2">
      <c r="A536" s="1">
        <v>45461</v>
      </c>
      <c r="B536">
        <v>84.51</v>
      </c>
      <c r="C536" s="2">
        <f>(int_data[[#This Row],[closes_alior]]-B535)/B535</f>
        <v>5.472932778108364E-3</v>
      </c>
      <c r="D536" s="2">
        <f>LN(int_data[[#This Row],[closes_alior]]/B535)</f>
        <v>5.4580107017664914E-3</v>
      </c>
      <c r="E536">
        <v>262.87</v>
      </c>
      <c r="F536" s="2">
        <f>(int_data[[#This Row],[closes_ing]]-E535)/E535</f>
        <v>0</v>
      </c>
      <c r="G536" s="2">
        <f>LN(int_data[[#This Row],[closes_ing]]/E535)</f>
        <v>0</v>
      </c>
    </row>
    <row r="537" spans="1:7" x14ac:dyDescent="0.2">
      <c r="A537" s="1">
        <v>45462</v>
      </c>
      <c r="B537">
        <v>87.65</v>
      </c>
      <c r="C537" s="2">
        <f>(int_data[[#This Row],[closes_alior]]-B536)/B536</f>
        <v>3.7155366228848664E-2</v>
      </c>
      <c r="D537" s="2">
        <f>LN(int_data[[#This Row],[closes_alior]]/B536)</f>
        <v>3.6481740810852557E-2</v>
      </c>
      <c r="E537">
        <v>267.5</v>
      </c>
      <c r="F537" s="2">
        <f>(int_data[[#This Row],[closes_ing]]-E536)/E536</f>
        <v>1.7613268916194299E-2</v>
      </c>
      <c r="G537" s="2">
        <f>LN(int_data[[#This Row],[closes_ing]]/E536)</f>
        <v>1.7459952941068869E-2</v>
      </c>
    </row>
    <row r="538" spans="1:7" x14ac:dyDescent="0.2">
      <c r="A538" s="1">
        <v>45463</v>
      </c>
      <c r="B538">
        <v>86.63</v>
      </c>
      <c r="C538" s="2">
        <f>(int_data[[#This Row],[closes_alior]]-B537)/B537</f>
        <v>-1.1637193382772507E-2</v>
      </c>
      <c r="D538" s="2">
        <f>LN(int_data[[#This Row],[closes_alior]]/B537)</f>
        <v>-1.1705435465194659E-2</v>
      </c>
      <c r="E538">
        <v>268.89</v>
      </c>
      <c r="F538" s="2">
        <f>(int_data[[#This Row],[closes_ing]]-E537)/E537</f>
        <v>5.1962616822429399E-3</v>
      </c>
      <c r="G538" s="2">
        <f>LN(int_data[[#This Row],[closes_ing]]/E537)</f>
        <v>5.1828077013187481E-3</v>
      </c>
    </row>
    <row r="539" spans="1:7" x14ac:dyDescent="0.2">
      <c r="A539" s="1">
        <v>45464</v>
      </c>
      <c r="B539">
        <v>87.56</v>
      </c>
      <c r="C539" s="2">
        <f>(int_data[[#This Row],[closes_alior]]-B538)/B538</f>
        <v>1.0735311093154875E-2</v>
      </c>
      <c r="D539" s="2">
        <f>LN(int_data[[#This Row],[closes_alior]]/B538)</f>
        <v>1.0678096752613419E-2</v>
      </c>
      <c r="E539">
        <v>273.05</v>
      </c>
      <c r="F539" s="2">
        <f>(int_data[[#This Row],[closes_ing]]-E538)/E538</f>
        <v>1.5471010450370134E-2</v>
      </c>
      <c r="G539" s="2">
        <f>LN(int_data[[#This Row],[closes_ing]]/E538)</f>
        <v>1.5352554560782786E-2</v>
      </c>
    </row>
    <row r="540" spans="1:7" x14ac:dyDescent="0.2">
      <c r="A540" s="1">
        <v>45465</v>
      </c>
      <c r="B540">
        <v>87.96</v>
      </c>
      <c r="C540" s="2">
        <f>(int_data[[#This Row],[closes_alior]]-B539)/B539</f>
        <v>4.5682960255823604E-3</v>
      </c>
      <c r="D540" s="2">
        <f>LN(int_data[[#This Row],[closes_alior]]/B539)</f>
        <v>4.5578930318981832E-3</v>
      </c>
      <c r="E540">
        <v>273.05</v>
      </c>
      <c r="F540" s="2">
        <f>(int_data[[#This Row],[closes_ing]]-E539)/E539</f>
        <v>0</v>
      </c>
      <c r="G540" s="2">
        <f>LN(int_data[[#This Row],[closes_ing]]/E539)</f>
        <v>0</v>
      </c>
    </row>
    <row r="541" spans="1:7" x14ac:dyDescent="0.2">
      <c r="A541" s="1">
        <v>45466</v>
      </c>
      <c r="B541">
        <v>88.36</v>
      </c>
      <c r="C541" s="2">
        <f>(int_data[[#This Row],[closes_alior]]-B540)/B540</f>
        <v>4.5475216007276687E-3</v>
      </c>
      <c r="D541" s="2">
        <f>LN(int_data[[#This Row],[closes_alior]]/B540)</f>
        <v>4.5372128653559645E-3</v>
      </c>
      <c r="E541">
        <v>273.05</v>
      </c>
      <c r="F541" s="2">
        <f>(int_data[[#This Row],[closes_ing]]-E540)/E540</f>
        <v>0</v>
      </c>
      <c r="G541" s="2">
        <f>LN(int_data[[#This Row],[closes_ing]]/E540)</f>
        <v>0</v>
      </c>
    </row>
    <row r="542" spans="1:7" x14ac:dyDescent="0.2">
      <c r="A542" s="1">
        <v>45467</v>
      </c>
      <c r="B542">
        <v>88.76</v>
      </c>
      <c r="C542" s="2">
        <f>(int_data[[#This Row],[closes_alior]]-B541)/B541</f>
        <v>4.5269352648257769E-3</v>
      </c>
      <c r="D542" s="2">
        <f>LN(int_data[[#This Row],[closes_alior]]/B541)</f>
        <v>4.5167195124768697E-3</v>
      </c>
      <c r="E542">
        <v>273.05</v>
      </c>
      <c r="F542" s="2">
        <f>(int_data[[#This Row],[closes_ing]]-E541)/E541</f>
        <v>0</v>
      </c>
      <c r="G542" s="2">
        <f>LN(int_data[[#This Row],[closes_ing]]/E541)</f>
        <v>0</v>
      </c>
    </row>
    <row r="543" spans="1:7" x14ac:dyDescent="0.2">
      <c r="A543" s="1">
        <v>45468</v>
      </c>
      <c r="B543">
        <v>90.77</v>
      </c>
      <c r="C543" s="2">
        <f>(int_data[[#This Row],[closes_alior]]-B542)/B542</f>
        <v>2.2645335736818283E-2</v>
      </c>
      <c r="D543" s="2">
        <f>LN(int_data[[#This Row],[closes_alior]]/B542)</f>
        <v>2.2392736474142694E-2</v>
      </c>
      <c r="E543">
        <v>277.68</v>
      </c>
      <c r="F543" s="2">
        <f>(int_data[[#This Row],[closes_ing]]-E542)/E542</f>
        <v>1.6956601355063158E-2</v>
      </c>
      <c r="G543" s="2">
        <f>LN(int_data[[#This Row],[closes_ing]]/E542)</f>
        <v>1.6814442955367999E-2</v>
      </c>
    </row>
    <row r="544" spans="1:7" x14ac:dyDescent="0.2">
      <c r="A544" s="1">
        <v>45469</v>
      </c>
      <c r="B544">
        <v>91.77</v>
      </c>
      <c r="C544" s="2">
        <f>(int_data[[#This Row],[closes_alior]]-B543)/B543</f>
        <v>1.1016855789357717E-2</v>
      </c>
      <c r="D544" s="2">
        <f>LN(int_data[[#This Row],[closes_alior]]/B543)</f>
        <v>1.0956612292385924E-2</v>
      </c>
      <c r="E544">
        <v>278.60000000000002</v>
      </c>
      <c r="F544" s="2">
        <f>(int_data[[#This Row],[closes_ing]]-E543)/E543</f>
        <v>3.3131662345146063E-3</v>
      </c>
      <c r="G544" s="2">
        <f>LN(int_data[[#This Row],[closes_ing]]/E543)</f>
        <v>3.3076897921744484E-3</v>
      </c>
    </row>
    <row r="545" spans="1:7" x14ac:dyDescent="0.2">
      <c r="A545" s="1">
        <v>45470</v>
      </c>
      <c r="B545">
        <v>93.68</v>
      </c>
      <c r="C545" s="2">
        <f>(int_data[[#This Row],[closes_alior]]-B544)/B544</f>
        <v>2.0812901819766926E-2</v>
      </c>
      <c r="D545" s="2">
        <f>LN(int_data[[#This Row],[closes_alior]]/B544)</f>
        <v>2.0599272458540228E-2</v>
      </c>
      <c r="E545">
        <v>276.29000000000002</v>
      </c>
      <c r="F545" s="2">
        <f>(int_data[[#This Row],[closes_ing]]-E544)/E544</f>
        <v>-8.2914572864321683E-3</v>
      </c>
      <c r="G545" s="2">
        <f>LN(int_data[[#This Row],[closes_ing]]/E544)</f>
        <v>-8.326022615636329E-3</v>
      </c>
    </row>
    <row r="546" spans="1:7" x14ac:dyDescent="0.2">
      <c r="A546" s="1">
        <v>45471</v>
      </c>
      <c r="B546">
        <v>93</v>
      </c>
      <c r="C546" s="2">
        <f>(int_data[[#This Row],[closes_alior]]-B545)/B545</f>
        <v>-7.2587532023911912E-3</v>
      </c>
      <c r="D546" s="2">
        <f>LN(int_data[[#This Row],[closes_alior]]/B545)</f>
        <v>-7.2852261362060687E-3</v>
      </c>
      <c r="E546">
        <v>281.38</v>
      </c>
      <c r="F546" s="2">
        <f>(int_data[[#This Row],[closes_ing]]-E545)/E545</f>
        <v>1.8422671830323121E-2</v>
      </c>
      <c r="G546" s="2">
        <f>LN(int_data[[#This Row],[closes_ing]]/E545)</f>
        <v>1.8255030218998006E-2</v>
      </c>
    </row>
    <row r="547" spans="1:7" x14ac:dyDescent="0.2">
      <c r="A547" s="1">
        <v>45472</v>
      </c>
      <c r="B547">
        <v>93.393333333333302</v>
      </c>
      <c r="C547" s="2">
        <f>(int_data[[#This Row],[closes_alior]]-B546)/B546</f>
        <v>4.2293906810032525E-3</v>
      </c>
      <c r="D547" s="2">
        <f>LN(int_data[[#This Row],[closes_alior]]/B546)</f>
        <v>4.2204719466017969E-3</v>
      </c>
      <c r="E547">
        <v>282.30666666666701</v>
      </c>
      <c r="F547" s="2">
        <f>(int_data[[#This Row],[closes_ing]]-E546)/E546</f>
        <v>3.2932925818004747E-3</v>
      </c>
      <c r="G547" s="2">
        <f>LN(int_data[[#This Row],[closes_ing]]/E546)</f>
        <v>3.2878815705600166E-3</v>
      </c>
    </row>
    <row r="548" spans="1:7" x14ac:dyDescent="0.2">
      <c r="A548" s="1">
        <v>45473</v>
      </c>
      <c r="B548">
        <v>93.786666666666704</v>
      </c>
      <c r="C548" s="2">
        <f>(int_data[[#This Row],[closes_alior]]-B547)/B547</f>
        <v>4.2115782711121645E-3</v>
      </c>
      <c r="D548" s="2">
        <f>LN(int_data[[#This Row],[closes_alior]]/B547)</f>
        <v>4.2027343977597892E-3</v>
      </c>
      <c r="E548">
        <v>283.23333333333301</v>
      </c>
      <c r="F548" s="2">
        <f>(int_data[[#This Row],[closes_ing]]-E547)/E547</f>
        <v>3.282482406836513E-3</v>
      </c>
      <c r="G548" s="2">
        <f>LN(int_data[[#This Row],[closes_ing]]/E547)</f>
        <v>3.2771068217576829E-3</v>
      </c>
    </row>
    <row r="549" spans="1:7" x14ac:dyDescent="0.2">
      <c r="A549" s="1">
        <v>45474</v>
      </c>
      <c r="B549">
        <v>94.18</v>
      </c>
      <c r="C549" s="2">
        <f>(int_data[[#This Row],[closes_alior]]-B548)/B548</f>
        <v>4.1939152686945791E-3</v>
      </c>
      <c r="D549" s="2">
        <f>LN(int_data[[#This Row],[closes_alior]]/B548)</f>
        <v>4.1851453177907923E-3</v>
      </c>
      <c r="E549">
        <v>284.16000000000003</v>
      </c>
      <c r="F549" s="2">
        <f>(int_data[[#This Row],[closes_ing]]-E548)/E548</f>
        <v>3.2717429681076333E-3</v>
      </c>
      <c r="G549" s="2">
        <f>LN(int_data[[#This Row],[closes_ing]]/E548)</f>
        <v>3.2664024624206177E-3</v>
      </c>
    </row>
    <row r="550" spans="1:7" x14ac:dyDescent="0.2">
      <c r="A550" s="1">
        <v>45475</v>
      </c>
      <c r="B550">
        <v>91.73</v>
      </c>
      <c r="C550" s="2">
        <f>(int_data[[#This Row],[closes_alior]]-B549)/B549</f>
        <v>-2.6014015714589112E-2</v>
      </c>
      <c r="D550" s="2">
        <f>LN(int_data[[#This Row],[closes_alior]]/B549)</f>
        <v>-2.6358365293844412E-2</v>
      </c>
      <c r="E550">
        <v>276.75</v>
      </c>
      <c r="F550" s="2">
        <f>(int_data[[#This Row],[closes_ing]]-E549)/E549</f>
        <v>-2.6076858108108194E-2</v>
      </c>
      <c r="G550" s="2">
        <f>LN(int_data[[#This Row],[closes_ing]]/E549)</f>
        <v>-2.6422888215059104E-2</v>
      </c>
    </row>
    <row r="551" spans="1:7" x14ac:dyDescent="0.2">
      <c r="A551" s="1">
        <v>45476</v>
      </c>
      <c r="B551">
        <v>92.05</v>
      </c>
      <c r="C551" s="2">
        <f>(int_data[[#This Row],[closes_alior]]-B550)/B550</f>
        <v>3.4884988553362385E-3</v>
      </c>
      <c r="D551" s="2">
        <f>LN(int_data[[#This Row],[closes_alior]]/B550)</f>
        <v>3.4824281575226625E-3</v>
      </c>
      <c r="E551">
        <v>273.98</v>
      </c>
      <c r="F551" s="2">
        <f>(int_data[[#This Row],[closes_ing]]-E550)/E550</f>
        <v>-1.0009033423667504E-2</v>
      </c>
      <c r="G551" s="2">
        <f>LN(int_data[[#This Row],[closes_ing]]/E550)</f>
        <v>-1.0059460565502758E-2</v>
      </c>
    </row>
    <row r="552" spans="1:7" x14ac:dyDescent="0.2">
      <c r="A552" s="1">
        <v>45477</v>
      </c>
      <c r="B552">
        <v>91.91</v>
      </c>
      <c r="C552" s="2">
        <f>(int_data[[#This Row],[closes_alior]]-B551)/B551</f>
        <v>-1.5209125475285233E-3</v>
      </c>
      <c r="D552" s="2">
        <f>LN(int_data[[#This Row],[closes_alior]]/B551)</f>
        <v>-1.5220703090687295E-3</v>
      </c>
      <c r="E552">
        <v>277.68</v>
      </c>
      <c r="F552" s="2">
        <f>(int_data[[#This Row],[closes_ing]]-E551)/E551</f>
        <v>1.3504635374844837E-2</v>
      </c>
      <c r="G552" s="2">
        <f>LN(int_data[[#This Row],[closes_ing]]/E551)</f>
        <v>1.3414260530287389E-2</v>
      </c>
    </row>
    <row r="553" spans="1:7" x14ac:dyDescent="0.2">
      <c r="A553" s="1">
        <v>45478</v>
      </c>
      <c r="B553">
        <v>90.34</v>
      </c>
      <c r="C553" s="2">
        <f>(int_data[[#This Row],[closes_alior]]-B552)/B552</f>
        <v>-1.7081927973017007E-2</v>
      </c>
      <c r="D553" s="2">
        <f>LN(int_data[[#This Row],[closes_alior]]/B552)</f>
        <v>-1.7229507143559936E-2</v>
      </c>
      <c r="E553">
        <v>274.89999999999998</v>
      </c>
      <c r="F553" s="2">
        <f>(int_data[[#This Row],[closes_ing]]-E552)/E552</f>
        <v>-1.0011524056467982E-2</v>
      </c>
      <c r="G553" s="2">
        <f>LN(int_data[[#This Row],[closes_ing]]/E552)</f>
        <v>-1.0061976382330912E-2</v>
      </c>
    </row>
    <row r="554" spans="1:7" x14ac:dyDescent="0.2">
      <c r="A554" s="1">
        <v>45479</v>
      </c>
      <c r="B554">
        <v>90.713333333333296</v>
      </c>
      <c r="C554" s="2">
        <f>(int_data[[#This Row],[closes_alior]]-B553)/B553</f>
        <v>4.1325363441807863E-3</v>
      </c>
      <c r="D554" s="2">
        <f>LN(int_data[[#This Row],[closes_alior]]/B553)</f>
        <v>4.1240208681442214E-3</v>
      </c>
      <c r="E554">
        <v>275.51666666666699</v>
      </c>
      <c r="F554" s="2">
        <f>(int_data[[#This Row],[closes_ing]]-E553)/E553</f>
        <v>2.2432399660495283E-3</v>
      </c>
      <c r="G554" s="2">
        <f>LN(int_data[[#This Row],[closes_ing]]/E553)</f>
        <v>2.2407276597126431E-3</v>
      </c>
    </row>
    <row r="555" spans="1:7" x14ac:dyDescent="0.2">
      <c r="A555" s="1">
        <v>45480</v>
      </c>
      <c r="B555">
        <v>91.086666666666702</v>
      </c>
      <c r="C555" s="2">
        <f>(int_data[[#This Row],[closes_alior]]-B554)/B554</f>
        <v>4.1155287719564131E-3</v>
      </c>
      <c r="D555" s="2">
        <f>LN(int_data[[#This Row],[closes_alior]]/B554)</f>
        <v>4.1070831476301157E-3</v>
      </c>
      <c r="E555">
        <v>276.13333333333298</v>
      </c>
      <c r="F555" s="2">
        <f>(int_data[[#This Row],[closes_ing]]-E554)/E554</f>
        <v>2.2382191035000597E-3</v>
      </c>
      <c r="G555" s="2">
        <f>LN(int_data[[#This Row],[closes_ing]]/E554)</f>
        <v>2.2357180224054072E-3</v>
      </c>
    </row>
    <row r="556" spans="1:7" x14ac:dyDescent="0.2">
      <c r="A556" s="1">
        <v>45481</v>
      </c>
      <c r="B556">
        <v>91.46</v>
      </c>
      <c r="C556" s="2">
        <f>(int_data[[#This Row],[closes_alior]]-B555)/B555</f>
        <v>4.098660616262447E-3</v>
      </c>
      <c r="D556" s="2">
        <f>LN(int_data[[#This Row],[closes_alior]]/B555)</f>
        <v>4.090283987676635E-3</v>
      </c>
      <c r="E556">
        <v>276.75</v>
      </c>
      <c r="F556" s="2">
        <f>(int_data[[#This Row],[closes_ing]]-E555)/E555</f>
        <v>2.2332206663460263E-3</v>
      </c>
      <c r="G556" s="2">
        <f>LN(int_data[[#This Row],[closes_ing]]/E555)</f>
        <v>2.2307307354281058E-3</v>
      </c>
    </row>
    <row r="557" spans="1:7" x14ac:dyDescent="0.2">
      <c r="A557" s="1">
        <v>45482</v>
      </c>
      <c r="B557">
        <v>91.96</v>
      </c>
      <c r="C557" s="2">
        <f>(int_data[[#This Row],[closes_alior]]-B556)/B556</f>
        <v>5.4668707631751589E-3</v>
      </c>
      <c r="D557" s="2">
        <f>LN(int_data[[#This Row],[closes_alior]]/B556)</f>
        <v>5.4519816650716044E-3</v>
      </c>
      <c r="E557">
        <v>280.45999999999998</v>
      </c>
      <c r="F557" s="2">
        <f>(int_data[[#This Row],[closes_ing]]-E556)/E556</f>
        <v>1.340560072267382E-2</v>
      </c>
      <c r="G557" s="2">
        <f>LN(int_data[[#This Row],[closes_ing]]/E556)</f>
        <v>1.3316540709758299E-2</v>
      </c>
    </row>
    <row r="558" spans="1:7" x14ac:dyDescent="0.2">
      <c r="A558" s="1">
        <v>45483</v>
      </c>
      <c r="B558">
        <v>91.32</v>
      </c>
      <c r="C558" s="2">
        <f>(int_data[[#This Row],[closes_alior]]-B557)/B557</f>
        <v>-6.9595476294040956E-3</v>
      </c>
      <c r="D558" s="2">
        <f>LN(int_data[[#This Row],[closes_alior]]/B557)</f>
        <v>-6.9838782333860264E-3</v>
      </c>
      <c r="E558">
        <v>277.68</v>
      </c>
      <c r="F558" s="2">
        <f>(int_data[[#This Row],[closes_ing]]-E557)/E557</f>
        <v>-9.9122869571417419E-3</v>
      </c>
      <c r="G558" s="2">
        <f>LN(int_data[[#This Row],[closes_ing]]/E557)</f>
        <v>-9.9617407449738155E-3</v>
      </c>
    </row>
    <row r="559" spans="1:7" x14ac:dyDescent="0.2">
      <c r="A559" s="1">
        <v>45484</v>
      </c>
      <c r="B559">
        <v>92.68</v>
      </c>
      <c r="C559" s="2">
        <f>(int_data[[#This Row],[closes_alior]]-B558)/B558</f>
        <v>1.4892685063513073E-2</v>
      </c>
      <c r="D559" s="2">
        <f>LN(int_data[[#This Row],[closes_alior]]/B558)</f>
        <v>1.4782877902580909E-2</v>
      </c>
      <c r="E559">
        <v>277.68</v>
      </c>
      <c r="F559" s="2">
        <f>(int_data[[#This Row],[closes_ing]]-E558)/E558</f>
        <v>0</v>
      </c>
      <c r="G559" s="2">
        <f>LN(int_data[[#This Row],[closes_ing]]/E558)</f>
        <v>0</v>
      </c>
    </row>
    <row r="560" spans="1:7" x14ac:dyDescent="0.2">
      <c r="A560" s="1">
        <v>45485</v>
      </c>
      <c r="B560">
        <v>91.91</v>
      </c>
      <c r="C560" s="2">
        <f>(int_data[[#This Row],[closes_alior]]-B559)/B559</f>
        <v>-8.3081570996979947E-3</v>
      </c>
      <c r="D560" s="2">
        <f>LN(int_data[[#This Row],[closes_alior]]/B559)</f>
        <v>-8.3428621941574587E-3</v>
      </c>
      <c r="E560">
        <v>279.99</v>
      </c>
      <c r="F560" s="2">
        <f>(int_data[[#This Row],[closes_ing]]-E559)/E559</f>
        <v>8.3189282627484963E-3</v>
      </c>
      <c r="G560" s="2">
        <f>LN(int_data[[#This Row],[closes_ing]]/E559)</f>
        <v>8.2845166922342148E-3</v>
      </c>
    </row>
    <row r="561" spans="1:7" x14ac:dyDescent="0.2">
      <c r="A561" s="1">
        <v>45486</v>
      </c>
      <c r="B561">
        <v>91.91</v>
      </c>
      <c r="C561" s="2">
        <f>(int_data[[#This Row],[closes_alior]]-B560)/B560</f>
        <v>0</v>
      </c>
      <c r="D561" s="2">
        <f>LN(int_data[[#This Row],[closes_alior]]/B560)</f>
        <v>0</v>
      </c>
      <c r="E561">
        <v>279.066666666667</v>
      </c>
      <c r="F561" s="2">
        <f>(int_data[[#This Row],[closes_ing]]-E560)/E560</f>
        <v>-3.2977368239330159E-3</v>
      </c>
      <c r="G561" s="2">
        <f>LN(int_data[[#This Row],[closes_ing]]/E560)</f>
        <v>-3.3031863420288406E-3</v>
      </c>
    </row>
    <row r="562" spans="1:7" x14ac:dyDescent="0.2">
      <c r="A562" s="1">
        <v>45487</v>
      </c>
      <c r="B562">
        <v>91.91</v>
      </c>
      <c r="C562" s="2">
        <f>(int_data[[#This Row],[closes_alior]]-B561)/B561</f>
        <v>0</v>
      </c>
      <c r="D562" s="2">
        <f>LN(int_data[[#This Row],[closes_alior]]/B561)</f>
        <v>0</v>
      </c>
      <c r="E562">
        <v>278.14333333333298</v>
      </c>
      <c r="F562" s="2">
        <f>(int_data[[#This Row],[closes_ing]]-E561)/E561</f>
        <v>-3.3086478738677517E-3</v>
      </c>
      <c r="G562" s="2">
        <f>LN(int_data[[#This Row],[closes_ing]]/E561)</f>
        <v>-3.3141335527062821E-3</v>
      </c>
    </row>
    <row r="563" spans="1:7" x14ac:dyDescent="0.2">
      <c r="A563" s="1">
        <v>45488</v>
      </c>
      <c r="B563">
        <v>91.91</v>
      </c>
      <c r="C563" s="2">
        <f>(int_data[[#This Row],[closes_alior]]-B562)/B562</f>
        <v>0</v>
      </c>
      <c r="D563" s="2">
        <f>LN(int_data[[#This Row],[closes_alior]]/B562)</f>
        <v>0</v>
      </c>
      <c r="E563">
        <v>277.22000000000003</v>
      </c>
      <c r="F563" s="2">
        <f>(int_data[[#This Row],[closes_ing]]-E562)/E562</f>
        <v>-3.3196313651221174E-3</v>
      </c>
      <c r="G563" s="2">
        <f>LN(int_data[[#This Row],[closes_ing]]/E562)</f>
        <v>-3.3251535658228608E-3</v>
      </c>
    </row>
    <row r="564" spans="1:7" x14ac:dyDescent="0.2">
      <c r="A564" s="1">
        <v>45489</v>
      </c>
      <c r="B564">
        <v>87.59</v>
      </c>
      <c r="C564" s="2">
        <f>(int_data[[#This Row],[closes_alior]]-B563)/B563</f>
        <v>-4.7002502448046928E-2</v>
      </c>
      <c r="D564" s="2">
        <f>LN(int_data[[#This Row],[closes_alior]]/B563)</f>
        <v>-4.8143001195020442E-2</v>
      </c>
      <c r="E564">
        <v>273.05</v>
      </c>
      <c r="F564" s="2">
        <f>(int_data[[#This Row],[closes_ing]]-E563)/E563</f>
        <v>-1.5042204747132297E-2</v>
      </c>
      <c r="G564" s="2">
        <f>LN(int_data[[#This Row],[closes_ing]]/E563)</f>
        <v>-1.5156486187044276E-2</v>
      </c>
    </row>
    <row r="565" spans="1:7" x14ac:dyDescent="0.2">
      <c r="A565" s="1">
        <v>45490</v>
      </c>
      <c r="B565">
        <v>85.5</v>
      </c>
      <c r="C565" s="2">
        <f>(int_data[[#This Row],[closes_alior]]-B564)/B564</f>
        <v>-2.3861171366594398E-2</v>
      </c>
      <c r="D565" s="2">
        <f>LN(int_data[[#This Row],[closes_alior]]/B564)</f>
        <v>-2.4150460232283098E-2</v>
      </c>
      <c r="E565">
        <v>270.27</v>
      </c>
      <c r="F565" s="2">
        <f>(int_data[[#This Row],[closes_ing]]-E564)/E564</f>
        <v>-1.0181285478850135E-2</v>
      </c>
      <c r="G565" s="2">
        <f>LN(int_data[[#This Row],[closes_ing]]/E564)</f>
        <v>-1.0233469266704496E-2</v>
      </c>
    </row>
    <row r="566" spans="1:7" x14ac:dyDescent="0.2">
      <c r="A566" s="1">
        <v>45491</v>
      </c>
      <c r="B566">
        <v>88.3</v>
      </c>
      <c r="C566" s="2">
        <f>(int_data[[#This Row],[closes_alior]]-B565)/B565</f>
        <v>3.2748538011695874E-2</v>
      </c>
      <c r="D566" s="2">
        <f>LN(int_data[[#This Row],[closes_alior]]/B565)</f>
        <v>3.2223731667199752E-2</v>
      </c>
      <c r="E566">
        <v>271.66000000000003</v>
      </c>
      <c r="F566" s="2">
        <f>(int_data[[#This Row],[closes_ing]]-E565)/E565</f>
        <v>5.1430051430053029E-3</v>
      </c>
      <c r="G566" s="2">
        <f>LN(int_data[[#This Row],[closes_ing]]/E565)</f>
        <v>5.1298250628865061E-3</v>
      </c>
    </row>
    <row r="567" spans="1:7" x14ac:dyDescent="0.2">
      <c r="A567" s="1">
        <v>45492</v>
      </c>
      <c r="B567">
        <v>88.18</v>
      </c>
      <c r="C567" s="2">
        <f>(int_data[[#This Row],[closes_alior]]-B566)/B566</f>
        <v>-1.3590033975083844E-3</v>
      </c>
      <c r="D567" s="2">
        <f>LN(int_data[[#This Row],[closes_alior]]/B566)</f>
        <v>-1.3599276801226513E-3</v>
      </c>
      <c r="E567">
        <v>270.74</v>
      </c>
      <c r="F567" s="2">
        <f>(int_data[[#This Row],[closes_ing]]-E566)/E566</f>
        <v>-3.3865861738938963E-3</v>
      </c>
      <c r="G567" s="2">
        <f>LN(int_data[[#This Row],[closes_ing]]/E566)</f>
        <v>-3.3923336367045758E-3</v>
      </c>
    </row>
    <row r="568" spans="1:7" x14ac:dyDescent="0.2">
      <c r="A568" s="1">
        <v>45493</v>
      </c>
      <c r="B568">
        <v>88.736666666666693</v>
      </c>
      <c r="C568" s="2">
        <f>(int_data[[#This Row],[closes_alior]]-B567)/B567</f>
        <v>6.3128449383838305E-3</v>
      </c>
      <c r="D568" s="2">
        <f>LN(int_data[[#This Row],[closes_alior]]/B567)</f>
        <v>6.2930023975805221E-3</v>
      </c>
      <c r="E568">
        <v>270.12333333333299</v>
      </c>
      <c r="F568" s="2">
        <f>(int_data[[#This Row],[closes_ing]]-E567)/E567</f>
        <v>-2.2777080101463224E-3</v>
      </c>
      <c r="G568" s="2">
        <f>LN(int_data[[#This Row],[closes_ing]]/E567)</f>
        <v>-2.2803059326584091E-3</v>
      </c>
    </row>
    <row r="569" spans="1:7" x14ac:dyDescent="0.2">
      <c r="A569" s="1">
        <v>45494</v>
      </c>
      <c r="B569">
        <v>89.293333333333294</v>
      </c>
      <c r="C569" s="2">
        <f>(int_data[[#This Row],[closes_alior]]-B568)/B568</f>
        <v>6.2732429285143393E-3</v>
      </c>
      <c r="D569" s="2">
        <f>LN(int_data[[#This Row],[closes_alior]]/B568)</f>
        <v>6.2536480463671589E-3</v>
      </c>
      <c r="E569">
        <v>269.506666666667</v>
      </c>
      <c r="F569" s="2">
        <f>(int_data[[#This Row],[closes_ing]]-E568)/E568</f>
        <v>-2.2829078075422074E-3</v>
      </c>
      <c r="G569" s="2">
        <f>LN(int_data[[#This Row],[closes_ing]]/E568)</f>
        <v>-2.285517614293154E-3</v>
      </c>
    </row>
    <row r="570" spans="1:7" x14ac:dyDescent="0.2">
      <c r="A570" s="1">
        <v>45495</v>
      </c>
      <c r="B570">
        <v>89.85</v>
      </c>
      <c r="C570" s="2">
        <f>(int_data[[#This Row],[closes_alior]]-B569)/B569</f>
        <v>6.2341346871737421E-3</v>
      </c>
      <c r="D570" s="2">
        <f>LN(int_data[[#This Row],[closes_alior]]/B569)</f>
        <v>6.2147828558286418E-3</v>
      </c>
      <c r="E570">
        <v>268.89</v>
      </c>
      <c r="F570" s="2">
        <f>(int_data[[#This Row],[closes_ing]]-E569)/E569</f>
        <v>-2.2881314005850735E-3</v>
      </c>
      <c r="G570" s="2">
        <f>LN(int_data[[#This Row],[closes_ing]]/E569)</f>
        <v>-2.2907531733087141E-3</v>
      </c>
    </row>
    <row r="571" spans="1:7" x14ac:dyDescent="0.2">
      <c r="A571" s="1">
        <v>45496</v>
      </c>
      <c r="B571">
        <v>87.81</v>
      </c>
      <c r="C571" s="2">
        <f>(int_data[[#This Row],[closes_alior]]-B570)/B570</f>
        <v>-2.2704507512520782E-2</v>
      </c>
      <c r="D571" s="2">
        <f>LN(int_data[[#This Row],[closes_alior]]/B570)</f>
        <v>-2.2966223857663736E-2</v>
      </c>
      <c r="E571">
        <v>271.2</v>
      </c>
      <c r="F571" s="2">
        <f>(int_data[[#This Row],[closes_ing]]-E570)/E570</f>
        <v>8.5908735914314496E-3</v>
      </c>
      <c r="G571" s="2">
        <f>LN(int_data[[#This Row],[closes_ing]]/E570)</f>
        <v>8.5541820288605637E-3</v>
      </c>
    </row>
    <row r="572" spans="1:7" x14ac:dyDescent="0.2">
      <c r="A572" s="1">
        <v>45497</v>
      </c>
      <c r="B572">
        <v>88.96</v>
      </c>
      <c r="C572" s="2">
        <f>(int_data[[#This Row],[closes_alior]]-B571)/B571</f>
        <v>1.3096458262156833E-2</v>
      </c>
      <c r="D572" s="2">
        <f>LN(int_data[[#This Row],[closes_alior]]/B571)</f>
        <v>1.3011441130368029E-2</v>
      </c>
      <c r="E572">
        <v>269.35000000000002</v>
      </c>
      <c r="F572" s="2">
        <f>(int_data[[#This Row],[closes_ing]]-E571)/E571</f>
        <v>-6.8215339233037089E-3</v>
      </c>
      <c r="G572" s="2">
        <f>LN(int_data[[#This Row],[closes_ing]]/E571)</f>
        <v>-6.8449069396976647E-3</v>
      </c>
    </row>
    <row r="573" spans="1:7" x14ac:dyDescent="0.2">
      <c r="A573" s="1">
        <v>45498</v>
      </c>
      <c r="B573">
        <v>89.58</v>
      </c>
      <c r="C573" s="2">
        <f>(int_data[[#This Row],[closes_alior]]-B572)/B572</f>
        <v>6.9694244604317059E-3</v>
      </c>
      <c r="D573" s="2">
        <f>LN(int_data[[#This Row],[closes_alior]]/B572)</f>
        <v>6.9452502768818127E-3</v>
      </c>
      <c r="E573">
        <v>271.66000000000003</v>
      </c>
      <c r="F573" s="2">
        <f>(int_data[[#This Row],[closes_ing]]-E572)/E572</f>
        <v>8.5762019677000263E-3</v>
      </c>
      <c r="G573" s="2">
        <f>LN(int_data[[#This Row],[closes_ing]]/E572)</f>
        <v>8.5396352678019458E-3</v>
      </c>
    </row>
    <row r="574" spans="1:7" x14ac:dyDescent="0.2">
      <c r="A574" s="1">
        <v>45499</v>
      </c>
      <c r="B574">
        <v>87.36</v>
      </c>
      <c r="C574" s="2">
        <f>(int_data[[#This Row],[closes_alior]]-B573)/B573</f>
        <v>-2.4782317481580697E-2</v>
      </c>
      <c r="D574" s="2">
        <f>LN(int_data[[#This Row],[closes_alior]]/B573)</f>
        <v>-2.5094568782559057E-2</v>
      </c>
      <c r="E574">
        <v>267.95999999999998</v>
      </c>
      <c r="F574" s="2">
        <f>(int_data[[#This Row],[closes_ing]]-E573)/E573</f>
        <v>-1.3619966134138427E-2</v>
      </c>
      <c r="G574" s="2">
        <f>LN(int_data[[#This Row],[closes_ing]]/E573)</f>
        <v>-1.3713568754278017E-2</v>
      </c>
    </row>
    <row r="575" spans="1:7" x14ac:dyDescent="0.2">
      <c r="A575" s="1">
        <v>45500</v>
      </c>
      <c r="B575">
        <v>87.976666666666702</v>
      </c>
      <c r="C575" s="2">
        <f>(int_data[[#This Row],[closes_alior]]-B574)/B574</f>
        <v>7.058913308913721E-3</v>
      </c>
      <c r="D575" s="2">
        <f>LN(int_data[[#This Row],[closes_alior]]/B574)</f>
        <v>7.0341158075822672E-3</v>
      </c>
      <c r="E575">
        <v>268.57666666666699</v>
      </c>
      <c r="F575" s="2">
        <f>(int_data[[#This Row],[closes_ing]]-E574)/E574</f>
        <v>2.3013385082363614E-3</v>
      </c>
      <c r="G575" s="2">
        <f>LN(int_data[[#This Row],[closes_ing]]/E574)</f>
        <v>2.2986944845237505E-3</v>
      </c>
    </row>
    <row r="576" spans="1:7" x14ac:dyDescent="0.2">
      <c r="A576" s="1">
        <v>45501</v>
      </c>
      <c r="B576">
        <v>88.593333333333305</v>
      </c>
      <c r="C576" s="2">
        <f>(int_data[[#This Row],[closes_alior]]-B575)/B575</f>
        <v>7.0094343197052581E-3</v>
      </c>
      <c r="D576" s="2">
        <f>LN(int_data[[#This Row],[closes_alior]]/B575)</f>
        <v>6.9849824310744902E-3</v>
      </c>
      <c r="E576">
        <v>269.19333333333299</v>
      </c>
      <c r="F576" s="2">
        <f>(int_data[[#This Row],[closes_ing]]-E575)/E575</f>
        <v>2.2960545095726537E-3</v>
      </c>
      <c r="G576" s="2">
        <f>LN(int_data[[#This Row],[closes_ing]]/E575)</f>
        <v>2.2934226043126449E-3</v>
      </c>
    </row>
    <row r="577" spans="1:7" x14ac:dyDescent="0.2">
      <c r="A577" s="1">
        <v>45502</v>
      </c>
      <c r="B577">
        <v>89.21</v>
      </c>
      <c r="C577" s="2">
        <f>(int_data[[#This Row],[closes_alior]]-B576)/B576</f>
        <v>6.960644141771638E-3</v>
      </c>
      <c r="D577" s="2">
        <f>LN(int_data[[#This Row],[closes_alior]]/B576)</f>
        <v>6.9365306904402733E-3</v>
      </c>
      <c r="E577">
        <v>269.81</v>
      </c>
      <c r="F577" s="2">
        <f>(int_data[[#This Row],[closes_ing]]-E576)/E576</f>
        <v>2.2907947200290352E-3</v>
      </c>
      <c r="G577" s="2">
        <f>LN(int_data[[#This Row],[closes_ing]]/E576)</f>
        <v>2.2881748500976342E-3</v>
      </c>
    </row>
    <row r="578" spans="1:7" x14ac:dyDescent="0.2">
      <c r="A578" s="1">
        <v>45503</v>
      </c>
      <c r="B578">
        <v>86.36</v>
      </c>
      <c r="C578" s="2">
        <f>(int_data[[#This Row],[closes_alior]]-B577)/B577</f>
        <v>-3.194709113328096E-2</v>
      </c>
      <c r="D578" s="2">
        <f>LN(int_data[[#This Row],[closes_alior]]/B577)</f>
        <v>-3.2468535279085449E-2</v>
      </c>
      <c r="E578">
        <v>274.89999999999998</v>
      </c>
      <c r="F578" s="2">
        <f>(int_data[[#This Row],[closes_ing]]-E577)/E577</f>
        <v>1.8865127311811922E-2</v>
      </c>
      <c r="G578" s="2">
        <f>LN(int_data[[#This Row],[closes_ing]]/E577)</f>
        <v>1.8689387592199264E-2</v>
      </c>
    </row>
    <row r="579" spans="1:7" x14ac:dyDescent="0.2">
      <c r="A579" s="1">
        <v>45504</v>
      </c>
      <c r="B579">
        <v>86.2</v>
      </c>
      <c r="C579" s="2">
        <f>(int_data[[#This Row],[closes_alior]]-B578)/B578</f>
        <v>-1.8527095877720772E-3</v>
      </c>
      <c r="D579" s="2">
        <f>LN(int_data[[#This Row],[closes_alior]]/B578)</f>
        <v>-1.8544279769591354E-3</v>
      </c>
      <c r="E579">
        <v>279.52999999999997</v>
      </c>
      <c r="F579" s="2">
        <f>(int_data[[#This Row],[closes_ing]]-E578)/E578</f>
        <v>1.6842488177519082E-2</v>
      </c>
      <c r="G579" s="2">
        <f>LN(int_data[[#This Row],[closes_ing]]/E578)</f>
        <v>1.6702226189954927E-2</v>
      </c>
    </row>
    <row r="580" spans="1:7" x14ac:dyDescent="0.2">
      <c r="A580" s="1">
        <v>45505</v>
      </c>
      <c r="B580">
        <v>84.45</v>
      </c>
      <c r="C580" s="2">
        <f>(int_data[[#This Row],[closes_alior]]-B579)/B579</f>
        <v>-2.0301624129930394E-2</v>
      </c>
      <c r="D580" s="2">
        <f>LN(int_data[[#This Row],[closes_alior]]/B579)</f>
        <v>-2.0510534415838357E-2</v>
      </c>
      <c r="E580">
        <v>265.18</v>
      </c>
      <c r="F580" s="2">
        <f>(int_data[[#This Row],[closes_ing]]-E579)/E579</f>
        <v>-5.1336171430615557E-2</v>
      </c>
      <c r="G580" s="2">
        <f>LN(int_data[[#This Row],[closes_ing]]/E579)</f>
        <v>-5.2700780674582087E-2</v>
      </c>
    </row>
    <row r="581" spans="1:7" x14ac:dyDescent="0.2">
      <c r="A581" s="1">
        <v>45506</v>
      </c>
      <c r="B581">
        <v>81.11</v>
      </c>
      <c r="C581" s="2">
        <f>(int_data[[#This Row],[closes_alior]]-B580)/B580</f>
        <v>-3.9550029603315613E-2</v>
      </c>
      <c r="D581" s="2">
        <f>LN(int_data[[#This Row],[closes_alior]]/B580)</f>
        <v>-4.0353385171555824E-2</v>
      </c>
      <c r="E581">
        <v>256.39</v>
      </c>
      <c r="F581" s="2">
        <f>(int_data[[#This Row],[closes_ing]]-E580)/E580</f>
        <v>-3.3147296176182291E-2</v>
      </c>
      <c r="G581" s="2">
        <f>LN(int_data[[#This Row],[closes_ing]]/E580)</f>
        <v>-3.3709117960700828E-2</v>
      </c>
    </row>
    <row r="582" spans="1:7" x14ac:dyDescent="0.2">
      <c r="A582" s="1">
        <v>45507</v>
      </c>
      <c r="B582">
        <v>80.91</v>
      </c>
      <c r="C582" s="2">
        <f>(int_data[[#This Row],[closes_alior]]-B581)/B581</f>
        <v>-2.4657872025644536E-3</v>
      </c>
      <c r="D582" s="2">
        <f>LN(int_data[[#This Row],[closes_alior]]/B581)</f>
        <v>-2.4688322625050535E-3</v>
      </c>
      <c r="E582">
        <v>252.68666666666701</v>
      </c>
      <c r="F582" s="2">
        <f>(int_data[[#This Row],[closes_ing]]-E581)/E581</f>
        <v>-1.4444141087144499E-2</v>
      </c>
      <c r="G582" s="2">
        <f>LN(int_data[[#This Row],[closes_ing]]/E581)</f>
        <v>-1.454947321143036E-2</v>
      </c>
    </row>
    <row r="583" spans="1:7" x14ac:dyDescent="0.2">
      <c r="A583" s="1">
        <v>45508</v>
      </c>
      <c r="B583">
        <v>80.709999999999994</v>
      </c>
      <c r="C583" s="2">
        <f>(int_data[[#This Row],[closes_alior]]-B582)/B582</f>
        <v>-2.4718823384007275E-3</v>
      </c>
      <c r="D583" s="2">
        <f>LN(int_data[[#This Row],[closes_alior]]/B582)</f>
        <v>-2.47494248346731E-3</v>
      </c>
      <c r="E583">
        <v>248.98333333333301</v>
      </c>
      <c r="F583" s="2">
        <f>(int_data[[#This Row],[closes_ing]]-E582)/E582</f>
        <v>-1.4655831992193214E-2</v>
      </c>
      <c r="G583" s="2">
        <f>LN(int_data[[#This Row],[closes_ing]]/E582)</f>
        <v>-1.4764289694226287E-2</v>
      </c>
    </row>
    <row r="584" spans="1:7" x14ac:dyDescent="0.2">
      <c r="A584" s="1">
        <v>45509</v>
      </c>
      <c r="B584">
        <v>80.510000000000005</v>
      </c>
      <c r="C584" s="2">
        <f>(int_data[[#This Row],[closes_alior]]-B583)/B583</f>
        <v>-2.478007681823673E-3</v>
      </c>
      <c r="D584" s="2">
        <f>LN(int_data[[#This Row],[closes_alior]]/B583)</f>
        <v>-2.4810830243914843E-3</v>
      </c>
      <c r="E584">
        <v>245.28</v>
      </c>
      <c r="F584" s="2">
        <f>(int_data[[#This Row],[closes_ing]]-E583)/E583</f>
        <v>-1.4873820202154138E-2</v>
      </c>
      <c r="G584" s="2">
        <f>LN(int_data[[#This Row],[closes_ing]]/E583)</f>
        <v>-1.498554469671127E-2</v>
      </c>
    </row>
    <row r="585" spans="1:7" x14ac:dyDescent="0.2">
      <c r="A585" s="1">
        <v>45510</v>
      </c>
      <c r="B585">
        <v>79.760000000000005</v>
      </c>
      <c r="C585" s="2">
        <f>(int_data[[#This Row],[closes_alior]]-B584)/B584</f>
        <v>-9.3156129673332491E-3</v>
      </c>
      <c r="D585" s="2">
        <f>LN(int_data[[#This Row],[closes_alior]]/B584)</f>
        <v>-9.359274658306535E-3</v>
      </c>
      <c r="E585">
        <v>242.97</v>
      </c>
      <c r="F585" s="2">
        <f>(int_data[[#This Row],[closes_ing]]-E584)/E584</f>
        <v>-9.4178082191780921E-3</v>
      </c>
      <c r="G585" s="2">
        <f>LN(int_data[[#This Row],[closes_ing]]/E584)</f>
        <v>-9.462436194495747E-3</v>
      </c>
    </row>
    <row r="586" spans="1:7" x14ac:dyDescent="0.2">
      <c r="A586" s="1">
        <v>45511</v>
      </c>
      <c r="B586">
        <v>80.14</v>
      </c>
      <c r="C586" s="2">
        <f>(int_data[[#This Row],[closes_alior]]-B585)/B585</f>
        <v>4.7642928786358505E-3</v>
      </c>
      <c r="D586" s="2">
        <f>LN(int_data[[#This Row],[closes_alior]]/B585)</f>
        <v>4.752979554415478E-3</v>
      </c>
      <c r="E586">
        <v>238.34</v>
      </c>
      <c r="F586" s="2">
        <f>(int_data[[#This Row],[closes_ing]]-E585)/E585</f>
        <v>-1.9055850516524656E-2</v>
      </c>
      <c r="G586" s="2">
        <f>LN(int_data[[#This Row],[closes_ing]]/E585)</f>
        <v>-1.9239753266348116E-2</v>
      </c>
    </row>
    <row r="587" spans="1:7" x14ac:dyDescent="0.2">
      <c r="A587" s="1">
        <v>45512</v>
      </c>
      <c r="B587">
        <v>80.8</v>
      </c>
      <c r="C587" s="2">
        <f>(int_data[[#This Row],[closes_alior]]-B586)/B586</f>
        <v>8.235587721487355E-3</v>
      </c>
      <c r="D587" s="2">
        <f>LN(int_data[[#This Row],[closes_alior]]/B586)</f>
        <v>8.2018603190510495E-3</v>
      </c>
      <c r="E587">
        <v>241.12</v>
      </c>
      <c r="F587" s="2">
        <f>(int_data[[#This Row],[closes_ing]]-E586)/E586</f>
        <v>1.1664009398338513E-2</v>
      </c>
      <c r="G587" s="2">
        <f>LN(int_data[[#This Row],[closes_ing]]/E586)</f>
        <v>1.1596509215525158E-2</v>
      </c>
    </row>
    <row r="588" spans="1:7" x14ac:dyDescent="0.2">
      <c r="A588" s="1">
        <v>45513</v>
      </c>
      <c r="B588">
        <v>80.650000000000006</v>
      </c>
      <c r="C588" s="2">
        <f>(int_data[[#This Row],[closes_alior]]-B587)/B587</f>
        <v>-1.856435643564251E-3</v>
      </c>
      <c r="D588" s="2">
        <f>LN(int_data[[#This Row],[closes_alior]]/B587)</f>
        <v>-1.8581609558317731E-3</v>
      </c>
      <c r="E588">
        <v>245.28</v>
      </c>
      <c r="F588" s="2">
        <f>(int_data[[#This Row],[closes_ing]]-E587)/E587</f>
        <v>1.7252820172528188E-2</v>
      </c>
      <c r="G588" s="2">
        <f>LN(int_data[[#This Row],[closes_ing]]/E587)</f>
        <v>1.7105680245318625E-2</v>
      </c>
    </row>
    <row r="589" spans="1:7" x14ac:dyDescent="0.2">
      <c r="A589" s="1">
        <v>45514</v>
      </c>
      <c r="B589">
        <v>81.48</v>
      </c>
      <c r="C589" s="2">
        <f>(int_data[[#This Row],[closes_alior]]-B588)/B588</f>
        <v>1.0291382517048956E-2</v>
      </c>
      <c r="D589" s="2">
        <f>LN(int_data[[#This Row],[closes_alior]]/B588)</f>
        <v>1.0238786787387199E-2</v>
      </c>
      <c r="E589">
        <v>246.976666666667</v>
      </c>
      <c r="F589" s="2">
        <f>(int_data[[#This Row],[closes_ing]]-E588)/E588</f>
        <v>6.917264622745431E-3</v>
      </c>
      <c r="G589" s="2">
        <f>LN(int_data[[#This Row],[closes_ing]]/E588)</f>
        <v>6.8934501056201712E-3</v>
      </c>
    </row>
    <row r="590" spans="1:7" x14ac:dyDescent="0.2">
      <c r="A590" s="1">
        <v>45515</v>
      </c>
      <c r="B590">
        <v>82.31</v>
      </c>
      <c r="C590" s="2">
        <f>(int_data[[#This Row],[closes_alior]]-B589)/B589</f>
        <v>1.018654884634264E-2</v>
      </c>
      <c r="D590" s="2">
        <f>LN(int_data[[#This Row],[closes_alior]]/B589)</f>
        <v>1.0135015625947505E-2</v>
      </c>
      <c r="E590">
        <v>248.67333333333301</v>
      </c>
      <c r="F590" s="2">
        <f>(int_data[[#This Row],[closes_ing]]-E589)/E589</f>
        <v>6.8697447802059672E-3</v>
      </c>
      <c r="G590" s="2">
        <f>LN(int_data[[#This Row],[closes_ing]]/E589)</f>
        <v>6.8462555986278191E-3</v>
      </c>
    </row>
    <row r="591" spans="1:7" x14ac:dyDescent="0.2">
      <c r="A591" s="1">
        <v>45516</v>
      </c>
      <c r="B591">
        <v>83.14</v>
      </c>
      <c r="C591" s="2">
        <f>(int_data[[#This Row],[closes_alior]]-B590)/B590</f>
        <v>1.0083829425343194E-2</v>
      </c>
      <c r="D591" s="2">
        <f>LN(int_data[[#This Row],[closes_alior]]/B590)</f>
        <v>1.0033326839938697E-2</v>
      </c>
      <c r="E591">
        <v>250.37</v>
      </c>
      <c r="F591" s="2">
        <f>(int_data[[#This Row],[closes_ing]]-E590)/E590</f>
        <v>6.8228733814120332E-3</v>
      </c>
      <c r="G591" s="2">
        <f>LN(int_data[[#This Row],[closes_ing]]/E590)</f>
        <v>6.7997029138935844E-3</v>
      </c>
    </row>
    <row r="592" spans="1:7" x14ac:dyDescent="0.2">
      <c r="A592" s="1">
        <v>45517</v>
      </c>
      <c r="B592">
        <v>89.16</v>
      </c>
      <c r="C592" s="2">
        <f>(int_data[[#This Row],[closes_alior]]-B591)/B591</f>
        <v>7.2407986528746637E-2</v>
      </c>
      <c r="D592" s="2">
        <f>LN(int_data[[#This Row],[closes_alior]]/B591)</f>
        <v>6.9906574693176626E-2</v>
      </c>
      <c r="E592">
        <v>247.6</v>
      </c>
      <c r="F592" s="2">
        <f>(int_data[[#This Row],[closes_ing]]-E591)/E591</f>
        <v>-1.1063625833766067E-2</v>
      </c>
      <c r="G592" s="2">
        <f>LN(int_data[[#This Row],[closes_ing]]/E591)</f>
        <v>-1.1125282931204737E-2</v>
      </c>
    </row>
    <row r="593" spans="1:7" x14ac:dyDescent="0.2">
      <c r="A593" s="1">
        <v>45518</v>
      </c>
      <c r="B593">
        <v>90.34</v>
      </c>
      <c r="C593" s="2">
        <f>(int_data[[#This Row],[closes_alior]]-B592)/B592</f>
        <v>1.3234634365186258E-2</v>
      </c>
      <c r="D593" s="2">
        <f>LN(int_data[[#This Row],[closes_alior]]/B592)</f>
        <v>1.3147821708790159E-2</v>
      </c>
      <c r="E593">
        <v>250.84</v>
      </c>
      <c r="F593" s="2">
        <f>(int_data[[#This Row],[closes_ing]]-E592)/E592</f>
        <v>1.3085621970920877E-2</v>
      </c>
      <c r="G593" s="2">
        <f>LN(int_data[[#This Row],[closes_ing]]/E592)</f>
        <v>1.300074486437898E-2</v>
      </c>
    </row>
    <row r="594" spans="1:7" x14ac:dyDescent="0.2">
      <c r="A594" s="1">
        <v>45519</v>
      </c>
      <c r="B594">
        <v>92.625</v>
      </c>
      <c r="C594" s="2">
        <f>(int_data[[#This Row],[closes_alior]]-B593)/B593</f>
        <v>2.529333628514497E-2</v>
      </c>
      <c r="D594" s="2">
        <f>LN(int_data[[#This Row],[closes_alior]]/B593)</f>
        <v>2.497875338979292E-2</v>
      </c>
      <c r="E594">
        <v>254.54</v>
      </c>
      <c r="F594" s="2">
        <f>(int_data[[#This Row],[closes_ing]]-E593)/E593</f>
        <v>1.4750438526550743E-2</v>
      </c>
      <c r="G594" s="2">
        <f>LN(int_data[[#This Row],[closes_ing]]/E593)</f>
        <v>1.4642708889080864E-2</v>
      </c>
    </row>
    <row r="595" spans="1:7" x14ac:dyDescent="0.2">
      <c r="A595" s="1">
        <v>45520</v>
      </c>
      <c r="B595">
        <v>94.91</v>
      </c>
      <c r="C595" s="2">
        <f>(int_data[[#This Row],[closes_alior]]-B594)/B594</f>
        <v>2.4669365721997263E-2</v>
      </c>
      <c r="D595" s="2">
        <f>LN(int_data[[#This Row],[closes_alior]]/B594)</f>
        <v>2.4369990526149753E-2</v>
      </c>
      <c r="E595">
        <v>258.24</v>
      </c>
      <c r="F595" s="2">
        <f>(int_data[[#This Row],[closes_ing]]-E594)/E594</f>
        <v>1.4536025771980895E-2</v>
      </c>
      <c r="G595" s="2">
        <f>LN(int_data[[#This Row],[closes_ing]]/E594)</f>
        <v>1.4431390517682965E-2</v>
      </c>
    </row>
    <row r="596" spans="1:7" x14ac:dyDescent="0.2">
      <c r="A596" s="1">
        <v>45521</v>
      </c>
      <c r="B596">
        <v>94.683333333333294</v>
      </c>
      <c r="C596" s="2">
        <f>(int_data[[#This Row],[closes_alior]]-B595)/B595</f>
        <v>-2.3882274435433793E-3</v>
      </c>
      <c r="D596" s="2">
        <f>LN(int_data[[#This Row],[closes_alior]]/B595)</f>
        <v>-2.3910838073750097E-3</v>
      </c>
      <c r="E596">
        <v>257.77666666666698</v>
      </c>
      <c r="F596" s="2">
        <f>(int_data[[#This Row],[closes_ing]]-E595)/E595</f>
        <v>-1.7941966129686555E-3</v>
      </c>
      <c r="G596" s="2">
        <f>LN(int_data[[#This Row],[closes_ing]]/E595)</f>
        <v>-1.7958081115636657E-3</v>
      </c>
    </row>
    <row r="597" spans="1:7" x14ac:dyDescent="0.2">
      <c r="A597" s="1">
        <v>45522</v>
      </c>
      <c r="B597">
        <v>94.456666666666706</v>
      </c>
      <c r="C597" s="2">
        <f>(int_data[[#This Row],[closes_alior]]-B596)/B596</f>
        <v>-2.3939447280400122E-3</v>
      </c>
      <c r="D597" s="2">
        <f>LN(int_data[[#This Row],[closes_alior]]/B596)</f>
        <v>-2.3968147951567774E-3</v>
      </c>
      <c r="E597">
        <v>257.31333333333299</v>
      </c>
      <c r="F597" s="2">
        <f>(int_data[[#This Row],[closes_ing]]-E596)/E596</f>
        <v>-1.7974215406126417E-3</v>
      </c>
      <c r="G597" s="2">
        <f>LN(int_data[[#This Row],[closes_ing]]/E596)</f>
        <v>-1.7990388409809218E-3</v>
      </c>
    </row>
    <row r="598" spans="1:7" x14ac:dyDescent="0.2">
      <c r="A598" s="1">
        <v>45523</v>
      </c>
      <c r="B598">
        <v>94.23</v>
      </c>
      <c r="C598" s="2">
        <f>(int_data[[#This Row],[closes_alior]]-B597)/B597</f>
        <v>-2.3996894519536507E-3</v>
      </c>
      <c r="D598" s="2">
        <f>LN(int_data[[#This Row],[closes_alior]]/B597)</f>
        <v>-2.4025733212041174E-3</v>
      </c>
      <c r="E598">
        <v>256.85000000000002</v>
      </c>
      <c r="F598" s="2">
        <f>(int_data[[#This Row],[closes_ing]]-E597)/E597</f>
        <v>-1.8006580822329562E-3</v>
      </c>
      <c r="G598" s="2">
        <f>LN(int_data[[#This Row],[closes_ing]]/E597)</f>
        <v>-1.8022812157625066E-3</v>
      </c>
    </row>
    <row r="599" spans="1:7" x14ac:dyDescent="0.2">
      <c r="A599" s="1">
        <v>45524</v>
      </c>
      <c r="B599">
        <v>90.85</v>
      </c>
      <c r="C599" s="2">
        <f>(int_data[[#This Row],[closes_alior]]-B598)/B598</f>
        <v>-3.5869680568821068E-2</v>
      </c>
      <c r="D599" s="2">
        <f>LN(int_data[[#This Row],[closes_alior]]/B598)</f>
        <v>-3.6528807376484833E-2</v>
      </c>
      <c r="E599">
        <v>253.61</v>
      </c>
      <c r="F599" s="2">
        <f>(int_data[[#This Row],[closes_ing]]-E598)/E598</f>
        <v>-1.2614366361689737E-2</v>
      </c>
      <c r="G599" s="2">
        <f>LN(int_data[[#This Row],[closes_ing]]/E598)</f>
        <v>-1.269460295097777E-2</v>
      </c>
    </row>
    <row r="600" spans="1:7" x14ac:dyDescent="0.2">
      <c r="A600" s="1">
        <v>45525</v>
      </c>
      <c r="B600">
        <v>91.5</v>
      </c>
      <c r="C600" s="2">
        <f>(int_data[[#This Row],[closes_alior]]-B599)/B599</f>
        <v>7.1546505228399088E-3</v>
      </c>
      <c r="D600" s="2">
        <f>LN(int_data[[#This Row],[closes_alior]]/B599)</f>
        <v>7.1291774392955153E-3</v>
      </c>
      <c r="E600">
        <v>252.23</v>
      </c>
      <c r="F600" s="2">
        <f>(int_data[[#This Row],[closes_ing]]-E599)/E599</f>
        <v>-5.4414258112851378E-3</v>
      </c>
      <c r="G600" s="2">
        <f>LN(int_data[[#This Row],[closes_ing]]/E599)</f>
        <v>-5.4562842941156594E-3</v>
      </c>
    </row>
    <row r="601" spans="1:7" x14ac:dyDescent="0.2">
      <c r="A601" s="1">
        <v>45526</v>
      </c>
      <c r="B601">
        <v>92.55</v>
      </c>
      <c r="C601" s="2">
        <f>(int_data[[#This Row],[closes_alior]]-B600)/B600</f>
        <v>1.1475409836065542E-2</v>
      </c>
      <c r="D601" s="2">
        <f>LN(int_data[[#This Row],[closes_alior]]/B600)</f>
        <v>1.1410066738030959E-2</v>
      </c>
      <c r="E601">
        <v>254.08</v>
      </c>
      <c r="F601" s="2">
        <f>(int_data[[#This Row],[closes_ing]]-E600)/E600</f>
        <v>7.3345755857749783E-3</v>
      </c>
      <c r="G601" s="2">
        <f>LN(int_data[[#This Row],[closes_ing]]/E600)</f>
        <v>7.3078083905873904E-3</v>
      </c>
    </row>
    <row r="602" spans="1:7" x14ac:dyDescent="0.2">
      <c r="A602" s="1">
        <v>45527</v>
      </c>
      <c r="B602">
        <v>92.68</v>
      </c>
      <c r="C602" s="2">
        <f>(int_data[[#This Row],[closes_alior]]-B601)/B601</f>
        <v>1.404646137223227E-3</v>
      </c>
      <c r="D602" s="2">
        <f>LN(int_data[[#This Row],[closes_alior]]/B601)</f>
        <v>1.4036605446690641E-3</v>
      </c>
      <c r="E602">
        <v>252.69</v>
      </c>
      <c r="F602" s="2">
        <f>(int_data[[#This Row],[closes_ing]]-E601)/E601</f>
        <v>-5.47071788413104E-3</v>
      </c>
      <c r="G602" s="2">
        <f>LN(int_data[[#This Row],[closes_ing]]/E601)</f>
        <v>-5.4857370633889001E-3</v>
      </c>
    </row>
    <row r="603" spans="1:7" x14ac:dyDescent="0.2">
      <c r="A603" s="1">
        <v>45528</v>
      </c>
      <c r="B603">
        <v>92.47</v>
      </c>
      <c r="C603" s="2">
        <f>(int_data[[#This Row],[closes_alior]]-B602)/B602</f>
        <v>-2.265861027190418E-3</v>
      </c>
      <c r="D603" s="2">
        <f>LN(int_data[[#This Row],[closes_alior]]/B602)</f>
        <v>-2.2684319746282653E-3</v>
      </c>
      <c r="E603">
        <v>251.45666666666699</v>
      </c>
      <c r="F603" s="2">
        <f>(int_data[[#This Row],[closes_ing]]-E602)/E602</f>
        <v>-4.8808157557996262E-3</v>
      </c>
      <c r="G603" s="2">
        <f>LN(int_data[[#This Row],[closes_ing]]/E602)</f>
        <v>-4.8927658369737302E-3</v>
      </c>
    </row>
    <row r="604" spans="1:7" x14ac:dyDescent="0.2">
      <c r="A604" s="1">
        <v>45529</v>
      </c>
      <c r="B604">
        <v>92.26</v>
      </c>
      <c r="C604" s="2">
        <f>(int_data[[#This Row],[closes_alior]]-B603)/B603</f>
        <v>-2.2710068130203714E-3</v>
      </c>
      <c r="D604" s="2">
        <f>LN(int_data[[#This Row],[closes_alior]]/B603)</f>
        <v>-2.273589459872744E-3</v>
      </c>
      <c r="E604">
        <v>250.22333333333299</v>
      </c>
      <c r="F604" s="2">
        <f>(int_data[[#This Row],[closes_ing]]-E603)/E603</f>
        <v>-4.904754961096016E-3</v>
      </c>
      <c r="G604" s="2">
        <f>LN(int_data[[#This Row],[closes_ing]]/E603)</f>
        <v>-4.9168227475712457E-3</v>
      </c>
    </row>
    <row r="605" spans="1:7" x14ac:dyDescent="0.2">
      <c r="A605" s="1">
        <v>45530</v>
      </c>
      <c r="B605">
        <v>92.05</v>
      </c>
      <c r="C605" s="2">
        <f>(int_data[[#This Row],[closes_alior]]-B604)/B604</f>
        <v>-2.2761760242792969E-3</v>
      </c>
      <c r="D605" s="2">
        <f>LN(int_data[[#This Row],[closes_alior]]/B604)</f>
        <v>-2.2787704505877115E-3</v>
      </c>
      <c r="E605">
        <v>248.99</v>
      </c>
      <c r="F605" s="2">
        <f>(int_data[[#This Row],[closes_ing]]-E604)/E604</f>
        <v>-4.928930155726141E-3</v>
      </c>
      <c r="G605" s="2">
        <f>LN(int_data[[#This Row],[closes_ing]]/E604)</f>
        <v>-4.9411173951597999E-3</v>
      </c>
    </row>
    <row r="606" spans="1:7" x14ac:dyDescent="0.2">
      <c r="A606" s="1">
        <v>45531</v>
      </c>
      <c r="B606">
        <v>91.32</v>
      </c>
      <c r="C606" s="2">
        <f>(int_data[[#This Row],[closes_alior]]-B605)/B605</f>
        <v>-7.9304725692558829E-3</v>
      </c>
      <c r="D606" s="2">
        <f>LN(int_data[[#This Row],[closes_alior]]/B605)</f>
        <v>-7.9620860174920757E-3</v>
      </c>
      <c r="E606">
        <v>250.84</v>
      </c>
      <c r="F606" s="2">
        <f>(int_data[[#This Row],[closes_ing]]-E605)/E605</f>
        <v>7.4300172697698468E-3</v>
      </c>
      <c r="G606" s="2">
        <f>LN(int_data[[#This Row],[closes_ing]]/E605)</f>
        <v>7.4025506591429546E-3</v>
      </c>
    </row>
    <row r="607" spans="1:7" x14ac:dyDescent="0.2">
      <c r="A607" s="1">
        <v>45532</v>
      </c>
      <c r="B607">
        <v>93.32</v>
      </c>
      <c r="C607" s="2">
        <f>(int_data[[#This Row],[closes_alior]]-B606)/B606</f>
        <v>2.1901007446342532E-2</v>
      </c>
      <c r="D607" s="2">
        <f>LN(int_data[[#This Row],[closes_alior]]/B606)</f>
        <v>2.1664625491634511E-2</v>
      </c>
      <c r="E607">
        <v>250.37</v>
      </c>
      <c r="F607" s="2">
        <f>(int_data[[#This Row],[closes_ing]]-E606)/E606</f>
        <v>-1.8737043533726633E-3</v>
      </c>
      <c r="G607" s="2">
        <f>LN(int_data[[#This Row],[closes_ing]]/E606)</f>
        <v>-1.8754619331743277E-3</v>
      </c>
    </row>
    <row r="608" spans="1:7" x14ac:dyDescent="0.2">
      <c r="A608" s="1">
        <v>45533</v>
      </c>
      <c r="B608">
        <v>93.27</v>
      </c>
      <c r="C608" s="2">
        <f>(int_data[[#This Row],[closes_alior]]-B607)/B607</f>
        <v>-5.3579082726100684E-4</v>
      </c>
      <c r="D608" s="2">
        <f>LN(int_data[[#This Row],[closes_alior]]/B607)</f>
        <v>-5.359344144570099E-4</v>
      </c>
      <c r="E608">
        <v>250.37</v>
      </c>
      <c r="F608" s="2">
        <f>(int_data[[#This Row],[closes_ing]]-E607)/E607</f>
        <v>0</v>
      </c>
      <c r="G608" s="2">
        <f>LN(int_data[[#This Row],[closes_ing]]/E607)</f>
        <v>0</v>
      </c>
    </row>
    <row r="609" spans="1:7" x14ac:dyDescent="0.2">
      <c r="A609" s="1">
        <v>45534</v>
      </c>
      <c r="B609">
        <v>93.14</v>
      </c>
      <c r="C609" s="2">
        <f>(int_data[[#This Row],[closes_alior]]-B608)/B608</f>
        <v>-1.3938029377076814E-3</v>
      </c>
      <c r="D609" s="2">
        <f>LN(int_data[[#This Row],[closes_alior]]/B608)</f>
        <v>-1.3947751845408858E-3</v>
      </c>
      <c r="E609">
        <v>258.24</v>
      </c>
      <c r="F609" s="2">
        <f>(int_data[[#This Row],[closes_ing]]-E608)/E608</f>
        <v>3.143347845189122E-2</v>
      </c>
      <c r="G609" s="2">
        <f>LN(int_data[[#This Row],[closes_ing]]/E608)</f>
        <v>3.0949561339938314E-2</v>
      </c>
    </row>
    <row r="610" spans="1:7" x14ac:dyDescent="0.2">
      <c r="A610" s="1">
        <v>45535</v>
      </c>
      <c r="B610">
        <v>93.4433333333333</v>
      </c>
      <c r="C610" s="2">
        <f>(int_data[[#This Row],[closes_alior]]-B609)/B609</f>
        <v>3.2567461169561848E-3</v>
      </c>
      <c r="D610" s="2">
        <f>LN(int_data[[#This Row],[closes_alior]]/B609)</f>
        <v>3.2514544053823639E-3</v>
      </c>
      <c r="E610">
        <v>257.31333333333299</v>
      </c>
      <c r="F610" s="2">
        <f>(int_data[[#This Row],[closes_ing]]-E609)/E609</f>
        <v>-3.5883932259410532E-3</v>
      </c>
      <c r="G610" s="2">
        <f>LN(int_data[[#This Row],[closes_ing]]/E609)</f>
        <v>-3.5948469525445654E-3</v>
      </c>
    </row>
    <row r="611" spans="1:7" x14ac:dyDescent="0.2">
      <c r="A611" s="1">
        <v>45536</v>
      </c>
      <c r="B611">
        <v>93.746666666666698</v>
      </c>
      <c r="C611" s="2">
        <f>(int_data[[#This Row],[closes_alior]]-B610)/B610</f>
        <v>3.246174151893111E-3</v>
      </c>
      <c r="D611" s="2">
        <f>LN(int_data[[#This Row],[closes_alior]]/B610)</f>
        <v>3.2409167032377644E-3</v>
      </c>
      <c r="E611">
        <v>256.386666666667</v>
      </c>
      <c r="F611" s="2">
        <f>(int_data[[#This Row],[closes_ing]]-E610)/E610</f>
        <v>-3.6013161644661332E-3</v>
      </c>
      <c r="G611" s="2">
        <f>LN(int_data[[#This Row],[closes_ing]]/E610)</f>
        <v>-3.6078165147614386E-3</v>
      </c>
    </row>
    <row r="612" spans="1:7" x14ac:dyDescent="0.2">
      <c r="A612" s="1">
        <v>45537</v>
      </c>
      <c r="B612">
        <v>94.05</v>
      </c>
      <c r="C612" s="2">
        <f>(int_data[[#This Row],[closes_alior]]-B611)/B611</f>
        <v>3.2356706016210242E-3</v>
      </c>
      <c r="D612" s="2">
        <f>LN(int_data[[#This Row],[closes_alior]]/B611)</f>
        <v>3.2304470841881109E-3</v>
      </c>
      <c r="E612">
        <v>255.46</v>
      </c>
      <c r="F612" s="2">
        <f>(int_data[[#This Row],[closes_ing]]-E611)/E611</f>
        <v>-3.6143325185929638E-3</v>
      </c>
      <c r="G612" s="2">
        <f>LN(int_data[[#This Row],[closes_ing]]/E611)</f>
        <v>-3.6208799996472509E-3</v>
      </c>
    </row>
    <row r="613" spans="1:7" x14ac:dyDescent="0.2">
      <c r="A613" s="1">
        <v>45538</v>
      </c>
      <c r="B613">
        <v>92.09</v>
      </c>
      <c r="C613" s="2">
        <f>(int_data[[#This Row],[closes_alior]]-B612)/B612</f>
        <v>-2.0839978734715509E-2</v>
      </c>
      <c r="D613" s="2">
        <f>LN(int_data[[#This Row],[closes_alior]]/B612)</f>
        <v>-2.1060196013763709E-2</v>
      </c>
      <c r="E613">
        <v>251.76</v>
      </c>
      <c r="F613" s="2">
        <f>(int_data[[#This Row],[closes_ing]]-E612)/E612</f>
        <v>-1.448367650512807E-2</v>
      </c>
      <c r="G613" s="2">
        <f>LN(int_data[[#This Row],[closes_ing]]/E612)</f>
        <v>-1.4589588858479392E-2</v>
      </c>
    </row>
    <row r="614" spans="1:7" x14ac:dyDescent="0.2">
      <c r="A614" s="1">
        <v>45539</v>
      </c>
      <c r="B614">
        <v>92.64</v>
      </c>
      <c r="C614" s="2">
        <f>(int_data[[#This Row],[closes_alior]]-B613)/B613</f>
        <v>5.9724182864588681E-3</v>
      </c>
      <c r="D614" s="2">
        <f>LN(int_data[[#This Row],[closes_alior]]/B613)</f>
        <v>5.9546540914094523E-3</v>
      </c>
      <c r="E614">
        <v>253.61</v>
      </c>
      <c r="F614" s="2">
        <f>(int_data[[#This Row],[closes_ing]]-E613)/E613</f>
        <v>7.3482681919289118E-3</v>
      </c>
      <c r="G614" s="2">
        <f>LN(int_data[[#This Row],[closes_ing]]/E613)</f>
        <v>7.3214012061479389E-3</v>
      </c>
    </row>
    <row r="615" spans="1:7" x14ac:dyDescent="0.2">
      <c r="A615" s="1">
        <v>45540</v>
      </c>
      <c r="B615">
        <v>90.65</v>
      </c>
      <c r="C615" s="2">
        <f>(int_data[[#This Row],[closes_alior]]-B614)/B614</f>
        <v>-2.1481001727115662E-2</v>
      </c>
      <c r="D615" s="2">
        <f>LN(int_data[[#This Row],[closes_alior]]/B614)</f>
        <v>-2.1715076623824978E-2</v>
      </c>
      <c r="E615">
        <v>248.99</v>
      </c>
      <c r="F615" s="2">
        <f>(int_data[[#This Row],[closes_ing]]-E614)/E614</f>
        <v>-1.8216947281258642E-2</v>
      </c>
      <c r="G615" s="2">
        <f>LN(int_data[[#This Row],[closes_ing]]/E614)</f>
        <v>-1.8384918946622076E-2</v>
      </c>
    </row>
    <row r="616" spans="1:7" x14ac:dyDescent="0.2">
      <c r="A616" s="1">
        <v>45541</v>
      </c>
      <c r="B616">
        <v>85.34</v>
      </c>
      <c r="C616" s="2">
        <f>(int_data[[#This Row],[closes_alior]]-B615)/B615</f>
        <v>-5.8576944291230025E-2</v>
      </c>
      <c r="D616" s="2">
        <f>LN(int_data[[#This Row],[closes_alior]]/B615)</f>
        <v>-6.036265944100621E-2</v>
      </c>
      <c r="E616">
        <v>236.95</v>
      </c>
      <c r="F616" s="2">
        <f>(int_data[[#This Row],[closes_ing]]-E615)/E615</f>
        <v>-4.8355355636772644E-2</v>
      </c>
      <c r="G616" s="2">
        <f>LN(int_data[[#This Row],[closes_ing]]/E615)</f>
        <v>-4.95635866020799E-2</v>
      </c>
    </row>
    <row r="617" spans="1:7" x14ac:dyDescent="0.2">
      <c r="A617" s="1">
        <v>45542</v>
      </c>
      <c r="B617">
        <v>85.726666666666702</v>
      </c>
      <c r="C617" s="2">
        <f>(int_data[[#This Row],[closes_alior]]-B616)/B616</f>
        <v>4.53089602374852E-3</v>
      </c>
      <c r="D617" s="2">
        <f>LN(int_data[[#This Row],[closes_alior]]/B616)</f>
        <v>4.520662414329607E-3</v>
      </c>
      <c r="E617">
        <v>237.41333333333299</v>
      </c>
      <c r="F617" s="2">
        <f>(int_data[[#This Row],[closes_ing]]-E616)/E616</f>
        <v>1.9554055004557805E-3</v>
      </c>
      <c r="G617" s="2">
        <f>LN(int_data[[#This Row],[closes_ing]]/E616)</f>
        <v>1.9534961837073574E-3</v>
      </c>
    </row>
    <row r="618" spans="1:7" x14ac:dyDescent="0.2">
      <c r="A618" s="1">
        <v>45543</v>
      </c>
      <c r="B618">
        <v>86.113333333333301</v>
      </c>
      <c r="C618" s="2">
        <f>(int_data[[#This Row],[closes_alior]]-B617)/B617</f>
        <v>4.5104596002791706E-3</v>
      </c>
      <c r="D618" s="2">
        <f>LN(int_data[[#This Row],[closes_alior]]/B617)</f>
        <v>4.5003179615757914E-3</v>
      </c>
      <c r="E618">
        <v>237.87666666666701</v>
      </c>
      <c r="F618" s="2">
        <f>(int_data[[#This Row],[closes_ing]]-E617)/E617</f>
        <v>1.9515893519067493E-3</v>
      </c>
      <c r="G618" s="2">
        <f>LN(int_data[[#This Row],[closes_ing]]/E617)</f>
        <v>1.9496874754599484E-3</v>
      </c>
    </row>
    <row r="619" spans="1:7" x14ac:dyDescent="0.2">
      <c r="A619" s="1">
        <v>45544</v>
      </c>
      <c r="B619">
        <v>86.5</v>
      </c>
      <c r="C619" s="2">
        <f>(int_data[[#This Row],[closes_alior]]-B618)/B618</f>
        <v>4.4902067043434872E-3</v>
      </c>
      <c r="D619" s="2">
        <f>LN(int_data[[#This Row],[closes_alior]]/B618)</f>
        <v>4.4801558020742746E-3</v>
      </c>
      <c r="E619">
        <v>238.34</v>
      </c>
      <c r="F619" s="2">
        <f>(int_data[[#This Row],[closes_ing]]-E618)/E618</f>
        <v>1.9477880694463371E-3</v>
      </c>
      <c r="G619" s="2">
        <f>LN(int_data[[#This Row],[closes_ing]]/E618)</f>
        <v>1.9458935898954402E-3</v>
      </c>
    </row>
    <row r="620" spans="1:7" x14ac:dyDescent="0.2">
      <c r="A620" s="1">
        <v>45545</v>
      </c>
      <c r="B620">
        <v>84.52</v>
      </c>
      <c r="C620" s="2">
        <f>(int_data[[#This Row],[closes_alior]]-B619)/B619</f>
        <v>-2.2890173410404672E-2</v>
      </c>
      <c r="D620" s="2">
        <f>LN(int_data[[#This Row],[closes_alior]]/B619)</f>
        <v>-2.3156221189977733E-2</v>
      </c>
      <c r="E620">
        <v>236.03</v>
      </c>
      <c r="F620" s="2">
        <f>(int_data[[#This Row],[closes_ing]]-E619)/E619</f>
        <v>-9.6920365863892022E-3</v>
      </c>
      <c r="G620" s="2">
        <f>LN(int_data[[#This Row],[closes_ing]]/E619)</f>
        <v>-9.7393100718724188E-3</v>
      </c>
    </row>
    <row r="621" spans="1:7" x14ac:dyDescent="0.2">
      <c r="A621" s="1">
        <v>45546</v>
      </c>
      <c r="B621">
        <v>81.05</v>
      </c>
      <c r="C621" s="2">
        <f>(int_data[[#This Row],[closes_alior]]-B620)/B620</f>
        <v>-4.1055371509701837E-2</v>
      </c>
      <c r="D621" s="2">
        <f>LN(int_data[[#This Row],[closes_alior]]/B620)</f>
        <v>-4.1921944566170842E-2</v>
      </c>
      <c r="E621">
        <v>226.77</v>
      </c>
      <c r="F621" s="2">
        <f>(int_data[[#This Row],[closes_ing]]-E620)/E620</f>
        <v>-3.9232300978689114E-2</v>
      </c>
      <c r="G621" s="2">
        <f>LN(int_data[[#This Row],[closes_ing]]/E620)</f>
        <v>-4.0022627618592627E-2</v>
      </c>
    </row>
    <row r="622" spans="1:7" x14ac:dyDescent="0.2">
      <c r="A622" s="1">
        <v>45547</v>
      </c>
      <c r="B622">
        <v>82.91</v>
      </c>
      <c r="C622" s="2">
        <f>(int_data[[#This Row],[closes_alior]]-B621)/B621</f>
        <v>2.294879703886489E-2</v>
      </c>
      <c r="D622" s="2">
        <f>LN(int_data[[#This Row],[closes_alior]]/B621)</f>
        <v>2.2689433946442204E-2</v>
      </c>
      <c r="E622">
        <v>239.27</v>
      </c>
      <c r="F622" s="2">
        <f>(int_data[[#This Row],[closes_ing]]-E621)/E621</f>
        <v>5.5121929708515233E-2</v>
      </c>
      <c r="G622" s="2">
        <f>LN(int_data[[#This Row],[closes_ing]]/E621)</f>
        <v>5.3656333433390775E-2</v>
      </c>
    </row>
    <row r="623" spans="1:7" x14ac:dyDescent="0.2">
      <c r="A623" s="1">
        <v>45548</v>
      </c>
      <c r="B623">
        <v>85.94</v>
      </c>
      <c r="C623" s="2">
        <f>(int_data[[#This Row],[closes_alior]]-B622)/B622</f>
        <v>3.654565191171151E-2</v>
      </c>
      <c r="D623" s="2">
        <f>LN(int_data[[#This Row],[closes_alior]]/B622)</f>
        <v>3.5893696218721773E-2</v>
      </c>
      <c r="E623">
        <v>242.97</v>
      </c>
      <c r="F623" s="2">
        <f>(int_data[[#This Row],[closes_ing]]-E622)/E622</f>
        <v>1.5463702093868803E-2</v>
      </c>
      <c r="G623" s="2">
        <f>LN(int_data[[#This Row],[closes_ing]]/E622)</f>
        <v>1.53453575234224E-2</v>
      </c>
    </row>
    <row r="624" spans="1:7" x14ac:dyDescent="0.2">
      <c r="A624" s="1">
        <v>45549</v>
      </c>
      <c r="B624">
        <v>85.4433333333333</v>
      </c>
      <c r="C624" s="2">
        <f>(int_data[[#This Row],[closes_alior]]-B623)/B623</f>
        <v>-5.7792258164614634E-3</v>
      </c>
      <c r="D624" s="2">
        <f>LN(int_data[[#This Row],[closes_alior]]/B623)</f>
        <v>-5.7959901631466785E-3</v>
      </c>
      <c r="E624">
        <v>242.04333333333301</v>
      </c>
      <c r="F624" s="2">
        <f>(int_data[[#This Row],[closes_ing]]-E623)/E623</f>
        <v>-3.8139139262748042E-3</v>
      </c>
      <c r="G624" s="2">
        <f>LN(int_data[[#This Row],[closes_ing]]/E623)</f>
        <v>-3.821205441371679E-3</v>
      </c>
    </row>
    <row r="625" spans="1:7" x14ac:dyDescent="0.2">
      <c r="A625" s="1">
        <v>45550</v>
      </c>
      <c r="B625">
        <v>84.946666666666701</v>
      </c>
      <c r="C625" s="2">
        <f>(int_data[[#This Row],[closes_alior]]-B624)/B624</f>
        <v>-5.8128194124753112E-3</v>
      </c>
      <c r="D625" s="2">
        <f>LN(int_data[[#This Row],[closes_alior]]/B624)</f>
        <v>-5.829779603524282E-3</v>
      </c>
      <c r="E625">
        <v>241.11666666666699</v>
      </c>
      <c r="F625" s="2">
        <f>(int_data[[#This Row],[closes_ing]]-E624)/E624</f>
        <v>-3.8285155550632425E-3</v>
      </c>
      <c r="G625" s="2">
        <f>LN(int_data[[#This Row],[closes_ing]]/E624)</f>
        <v>-3.8358630801457005E-3</v>
      </c>
    </row>
    <row r="626" spans="1:7" x14ac:dyDescent="0.2">
      <c r="A626" s="1">
        <v>45551</v>
      </c>
      <c r="B626">
        <v>84.45</v>
      </c>
      <c r="C626" s="2">
        <f>(int_data[[#This Row],[closes_alior]]-B625)/B625</f>
        <v>-5.8468058389581452E-3</v>
      </c>
      <c r="D626" s="2">
        <f>LN(int_data[[#This Row],[closes_alior]]/B625)</f>
        <v>-5.8639653263690304E-3</v>
      </c>
      <c r="E626">
        <v>240.19</v>
      </c>
      <c r="F626" s="2">
        <f>(int_data[[#This Row],[closes_ing]]-E625)/E625</f>
        <v>-3.8432294186783213E-3</v>
      </c>
      <c r="G626" s="2">
        <f>LN(int_data[[#This Row],[closes_ing]]/E625)</f>
        <v>-3.8506336015978913E-3</v>
      </c>
    </row>
    <row r="627" spans="1:7" x14ac:dyDescent="0.2">
      <c r="A627" s="1">
        <v>45552</v>
      </c>
      <c r="B627">
        <v>85.41</v>
      </c>
      <c r="C627" s="2">
        <f>(int_data[[#This Row],[closes_alior]]-B626)/B626</f>
        <v>1.1367673179396017E-2</v>
      </c>
      <c r="D627" s="2">
        <f>LN(int_data[[#This Row],[closes_alior]]/B626)</f>
        <v>1.1303546704246619E-2</v>
      </c>
      <c r="E627">
        <v>242.51</v>
      </c>
      <c r="F627" s="2">
        <f>(int_data[[#This Row],[closes_ing]]-E626)/E626</f>
        <v>9.6590199425454562E-3</v>
      </c>
      <c r="G627" s="2">
        <f>LN(int_data[[#This Row],[closes_ing]]/E626)</f>
        <v>9.6126698348205815E-3</v>
      </c>
    </row>
    <row r="628" spans="1:7" x14ac:dyDescent="0.2">
      <c r="A628" s="1">
        <v>45553</v>
      </c>
      <c r="B628">
        <v>84.96</v>
      </c>
      <c r="C628" s="2">
        <f>(int_data[[#This Row],[closes_alior]]-B627)/B627</f>
        <v>-5.2687038988409188E-3</v>
      </c>
      <c r="D628" s="2">
        <f>LN(int_data[[#This Row],[closes_alior]]/B627)</f>
        <v>-5.2826324644272239E-3</v>
      </c>
      <c r="E628">
        <v>242.51</v>
      </c>
      <c r="F628" s="2">
        <f>(int_data[[#This Row],[closes_ing]]-E627)/E627</f>
        <v>0</v>
      </c>
      <c r="G628" s="2">
        <f>LN(int_data[[#This Row],[closes_ing]]/E627)</f>
        <v>0</v>
      </c>
    </row>
    <row r="629" spans="1:7" x14ac:dyDescent="0.2">
      <c r="A629" s="1">
        <v>45554</v>
      </c>
      <c r="B629">
        <v>87.23</v>
      </c>
      <c r="C629" s="2">
        <f>(int_data[[#This Row],[closes_alior]]-B628)/B628</f>
        <v>2.6718455743879595E-2</v>
      </c>
      <c r="D629" s="2">
        <f>LN(int_data[[#This Row],[closes_alior]]/B628)</f>
        <v>2.6367750951498528E-2</v>
      </c>
      <c r="E629">
        <v>237.42</v>
      </c>
      <c r="F629" s="2">
        <f>(int_data[[#This Row],[closes_ing]]-E628)/E628</f>
        <v>-2.0988825203084423E-2</v>
      </c>
      <c r="G629" s="2">
        <f>LN(int_data[[#This Row],[closes_ing]]/E628)</f>
        <v>-2.1212222015325657E-2</v>
      </c>
    </row>
    <row r="630" spans="1:7" x14ac:dyDescent="0.2">
      <c r="A630" s="1">
        <v>45555</v>
      </c>
      <c r="B630">
        <v>84.51</v>
      </c>
      <c r="C630" s="2">
        <f>(int_data[[#This Row],[closes_alior]]-B629)/B629</f>
        <v>-3.118193282127707E-2</v>
      </c>
      <c r="D630" s="2">
        <f>LN(int_data[[#This Row],[closes_alior]]/B629)</f>
        <v>-3.1678437888736165E-2</v>
      </c>
      <c r="E630">
        <v>238.8</v>
      </c>
      <c r="F630" s="2">
        <f>(int_data[[#This Row],[closes_ing]]-E629)/E629</f>
        <v>5.8124842052060654E-3</v>
      </c>
      <c r="G630" s="2">
        <f>LN(int_data[[#This Row],[closes_ing]]/E629)</f>
        <v>5.7956568930592148E-3</v>
      </c>
    </row>
    <row r="631" spans="1:7" x14ac:dyDescent="0.2">
      <c r="A631" s="1">
        <v>45556</v>
      </c>
      <c r="B631">
        <v>84.126666666666694</v>
      </c>
      <c r="C631" s="2">
        <f>(int_data[[#This Row],[closes_alior]]-B630)/B630</f>
        <v>-4.5359523527785054E-3</v>
      </c>
      <c r="D631" s="2">
        <f>LN(int_data[[#This Row],[closes_alior]]/B630)</f>
        <v>-4.5462709997357758E-3</v>
      </c>
      <c r="E631">
        <v>238.183333333333</v>
      </c>
      <c r="F631" s="2">
        <f>(int_data[[#This Row],[closes_ing]]-E630)/E630</f>
        <v>-2.5823562255737659E-3</v>
      </c>
      <c r="G631" s="2">
        <f>LN(int_data[[#This Row],[closes_ing]]/E630)</f>
        <v>-2.5856962587544299E-3</v>
      </c>
    </row>
    <row r="632" spans="1:7" x14ac:dyDescent="0.2">
      <c r="A632" s="1">
        <v>45557</v>
      </c>
      <c r="B632">
        <v>83.743333333333297</v>
      </c>
      <c r="C632" s="2">
        <f>(int_data[[#This Row],[closes_alior]]-B631)/B631</f>
        <v>-4.5566209683817662E-3</v>
      </c>
      <c r="D632" s="2">
        <f>LN(int_data[[#This Row],[closes_alior]]/B631)</f>
        <v>-4.5670340099360626E-3</v>
      </c>
      <c r="E632">
        <v>237.566666666667</v>
      </c>
      <c r="F632" s="2">
        <f>(int_data[[#This Row],[closes_ing]]-E631)/E631</f>
        <v>-2.5890420544370288E-3</v>
      </c>
      <c r="G632" s="2">
        <f>LN(int_data[[#This Row],[closes_ing]]/E631)</f>
        <v>-2.592399419975867E-3</v>
      </c>
    </row>
    <row r="633" spans="1:7" x14ac:dyDescent="0.2">
      <c r="A633" s="1">
        <v>45558</v>
      </c>
      <c r="B633">
        <v>83.36</v>
      </c>
      <c r="C633" s="2">
        <f>(int_data[[#This Row],[closes_alior]]-B632)/B632</f>
        <v>-4.5774788042825003E-3</v>
      </c>
      <c r="D633" s="2">
        <f>LN(int_data[[#This Row],[closes_alior]]/B632)</f>
        <v>-4.5879875416622922E-3</v>
      </c>
      <c r="E633">
        <v>236.95</v>
      </c>
      <c r="F633" s="2">
        <f>(int_data[[#This Row],[closes_ing]]-E632)/E632</f>
        <v>-2.5957625929578271E-3</v>
      </c>
      <c r="G633" s="2">
        <f>LN(int_data[[#This Row],[closes_ing]]/E632)</f>
        <v>-2.5991374261194753E-3</v>
      </c>
    </row>
    <row r="634" spans="1:7" x14ac:dyDescent="0.2">
      <c r="A634" s="1">
        <v>45559</v>
      </c>
      <c r="B634">
        <v>83.98</v>
      </c>
      <c r="C634" s="2">
        <f>(int_data[[#This Row],[closes_alior]]-B633)/B633</f>
        <v>7.4376199616123387E-3</v>
      </c>
      <c r="D634" s="2">
        <f>LN(int_data[[#This Row],[closes_alior]]/B633)</f>
        <v>7.4100972509905522E-3</v>
      </c>
      <c r="E634">
        <v>243.43</v>
      </c>
      <c r="F634" s="2">
        <f>(int_data[[#This Row],[closes_ing]]-E633)/E633</f>
        <v>2.7347541675459035E-2</v>
      </c>
      <c r="G634" s="2">
        <f>LN(int_data[[#This Row],[closes_ing]]/E633)</f>
        <v>2.6980278447731515E-2</v>
      </c>
    </row>
    <row r="635" spans="1:7" x14ac:dyDescent="0.2">
      <c r="A635" s="1">
        <v>45560</v>
      </c>
      <c r="B635">
        <v>84.09</v>
      </c>
      <c r="C635" s="2">
        <f>(int_data[[#This Row],[closes_alior]]-B634)/B634</f>
        <v>1.3098356751607457E-3</v>
      </c>
      <c r="D635" s="2">
        <f>LN(int_data[[#This Row],[closes_alior]]/B634)</f>
        <v>1.3089785887594851E-3</v>
      </c>
      <c r="E635">
        <v>241.12</v>
      </c>
      <c r="F635" s="2">
        <f>(int_data[[#This Row],[closes_ing]]-E634)/E634</f>
        <v>-9.4893809308630901E-3</v>
      </c>
      <c r="G635" s="2">
        <f>LN(int_data[[#This Row],[closes_ing]]/E634)</f>
        <v>-9.5346919831434691E-3</v>
      </c>
    </row>
    <row r="636" spans="1:7" x14ac:dyDescent="0.2">
      <c r="A636" s="1">
        <v>45561</v>
      </c>
      <c r="B636">
        <v>88.67</v>
      </c>
      <c r="C636" s="2">
        <f>(int_data[[#This Row],[closes_alior]]-B635)/B635</f>
        <v>5.4465453680580311E-2</v>
      </c>
      <c r="D636" s="2">
        <f>LN(int_data[[#This Row],[closes_alior]]/B635)</f>
        <v>5.3033959547108919E-2</v>
      </c>
      <c r="E636">
        <v>246.67</v>
      </c>
      <c r="F636" s="2">
        <f>(int_data[[#This Row],[closes_ing]]-E635)/E635</f>
        <v>2.3017584605175775E-2</v>
      </c>
      <c r="G636" s="2">
        <f>LN(int_data[[#This Row],[closes_ing]]/E635)</f>
        <v>2.2756676074127055E-2</v>
      </c>
    </row>
    <row r="637" spans="1:7" x14ac:dyDescent="0.2">
      <c r="A637" s="1">
        <v>45562</v>
      </c>
      <c r="B637">
        <v>87.61</v>
      </c>
      <c r="C637" s="2">
        <f>(int_data[[#This Row],[closes_alior]]-B636)/B636</f>
        <v>-1.1954437803090134E-2</v>
      </c>
      <c r="D637" s="2">
        <f>LN(int_data[[#This Row],[closes_alior]]/B636)</f>
        <v>-1.202646671364322E-2</v>
      </c>
      <c r="E637">
        <v>245.28</v>
      </c>
      <c r="F637" s="2">
        <f>(int_data[[#This Row],[closes_ing]]-E636)/E636</f>
        <v>-5.635058985689328E-3</v>
      </c>
      <c r="G637" s="2">
        <f>LN(int_data[[#This Row],[closes_ing]]/E636)</f>
        <v>-5.6509958288084592E-3</v>
      </c>
    </row>
    <row r="638" spans="1:7" x14ac:dyDescent="0.2">
      <c r="A638" s="1">
        <v>45563</v>
      </c>
      <c r="B638">
        <v>86.476666666666702</v>
      </c>
      <c r="C638" s="2">
        <f>(int_data[[#This Row],[closes_alior]]-B637)/B637</f>
        <v>-1.2936118403530388E-2</v>
      </c>
      <c r="D638" s="2">
        <f>LN(int_data[[#This Row],[closes_alior]]/B637)</f>
        <v>-1.3020518647688207E-2</v>
      </c>
      <c r="E638">
        <v>244.66333333333299</v>
      </c>
      <c r="F638" s="2">
        <f>(int_data[[#This Row],[closes_ing]]-E637)/E637</f>
        <v>-2.5141335072856137E-3</v>
      </c>
      <c r="G638" s="2">
        <f>LN(int_data[[#This Row],[closes_ing]]/E637)</f>
        <v>-2.5172992481083622E-3</v>
      </c>
    </row>
    <row r="639" spans="1:7" x14ac:dyDescent="0.2">
      <c r="A639" s="1">
        <v>45564</v>
      </c>
      <c r="B639">
        <v>85.343333333333305</v>
      </c>
      <c r="C639" s="2">
        <f>(int_data[[#This Row],[closes_alior]]-B638)/B638</f>
        <v>-1.3105654704545307E-2</v>
      </c>
      <c r="D639" s="2">
        <f>LN(int_data[[#This Row],[closes_alior]]/B638)</f>
        <v>-1.319229158505042E-2</v>
      </c>
      <c r="E639">
        <v>244.04666666666699</v>
      </c>
      <c r="F639" s="2">
        <f>(int_data[[#This Row],[closes_ing]]-E638)/E638</f>
        <v>-2.5204703061322076E-3</v>
      </c>
      <c r="G639" s="2">
        <f>LN(int_data[[#This Row],[closes_ing]]/E638)</f>
        <v>-2.5236520388472747E-3</v>
      </c>
    </row>
    <row r="640" spans="1:7" x14ac:dyDescent="0.2">
      <c r="A640" s="1">
        <v>45565</v>
      </c>
      <c r="B640">
        <v>84.21</v>
      </c>
      <c r="C640" s="2">
        <f>(int_data[[#This Row],[closes_alior]]-B639)/B639</f>
        <v>-1.3279693785884216E-2</v>
      </c>
      <c r="D640" s="2">
        <f>LN(int_data[[#This Row],[closes_alior]]/B639)</f>
        <v>-1.3368657403633044E-2</v>
      </c>
      <c r="E640">
        <v>243.43</v>
      </c>
      <c r="F640" s="2">
        <f>(int_data[[#This Row],[closes_ing]]-E639)/E639</f>
        <v>-2.5268391291296175E-3</v>
      </c>
      <c r="G640" s="2">
        <f>LN(int_data[[#This Row],[closes_ing]]/E639)</f>
        <v>-2.5300369752195204E-3</v>
      </c>
    </row>
    <row r="641" spans="1:7" x14ac:dyDescent="0.2">
      <c r="A641" s="1">
        <v>45566</v>
      </c>
      <c r="B641">
        <v>82.87</v>
      </c>
      <c r="C641" s="2">
        <f>(int_data[[#This Row],[closes_alior]]-B640)/B640</f>
        <v>-1.591259945374646E-2</v>
      </c>
      <c r="D641" s="2">
        <f>LN(int_data[[#This Row],[closes_alior]]/B640)</f>
        <v>-1.6040564180949572E-2</v>
      </c>
      <c r="E641">
        <v>237.42</v>
      </c>
      <c r="F641" s="2">
        <f>(int_data[[#This Row],[closes_ing]]-E640)/E640</f>
        <v>-2.4688822248695803E-2</v>
      </c>
      <c r="G641" s="2">
        <f>LN(int_data[[#This Row],[closes_ing]]/E640)</f>
        <v>-2.4998702235941032E-2</v>
      </c>
    </row>
    <row r="642" spans="1:7" x14ac:dyDescent="0.2">
      <c r="A642" s="1">
        <v>45567</v>
      </c>
      <c r="B642">
        <v>82.6</v>
      </c>
      <c r="C642" s="2">
        <f>(int_data[[#This Row],[closes_alior]]-B641)/B641</f>
        <v>-3.2581151200676991E-3</v>
      </c>
      <c r="D642" s="2">
        <f>LN(int_data[[#This Row],[closes_alior]]/B641)</f>
        <v>-3.2634343340188386E-3</v>
      </c>
      <c r="E642">
        <v>240.66</v>
      </c>
      <c r="F642" s="2">
        <f>(int_data[[#This Row],[closes_ing]]-E641)/E641</f>
        <v>1.3646702047005346E-2</v>
      </c>
      <c r="G642" s="2">
        <f>LN(int_data[[#This Row],[closes_ing]]/E641)</f>
        <v>1.3554424384628517E-2</v>
      </c>
    </row>
    <row r="643" spans="1:7" x14ac:dyDescent="0.2">
      <c r="A643" s="1">
        <v>45568</v>
      </c>
      <c r="B643">
        <v>80.09</v>
      </c>
      <c r="C643" s="2">
        <f>(int_data[[#This Row],[closes_alior]]-B642)/B642</f>
        <v>-3.0387409200968416E-2</v>
      </c>
      <c r="D643" s="2">
        <f>LN(int_data[[#This Row],[closes_alior]]/B642)</f>
        <v>-3.0858678191341343E-2</v>
      </c>
      <c r="E643">
        <v>236.03</v>
      </c>
      <c r="F643" s="2">
        <f>(int_data[[#This Row],[closes_ing]]-E642)/E642</f>
        <v>-1.9238760076456394E-2</v>
      </c>
      <c r="G643" s="2">
        <f>LN(int_data[[#This Row],[closes_ing]]/E642)</f>
        <v>-1.9426233419228833E-2</v>
      </c>
    </row>
    <row r="644" spans="1:7" x14ac:dyDescent="0.2">
      <c r="A644" s="1">
        <v>45569</v>
      </c>
      <c r="B644">
        <v>80.25</v>
      </c>
      <c r="C644" s="2">
        <f>(int_data[[#This Row],[closes_alior]]-B643)/B643</f>
        <v>1.997752528405501E-3</v>
      </c>
      <c r="D644" s="2">
        <f>LN(int_data[[#This Row],[closes_alior]]/B643)</f>
        <v>1.9957596745342012E-3</v>
      </c>
      <c r="E644">
        <v>236.95</v>
      </c>
      <c r="F644" s="2">
        <f>(int_data[[#This Row],[closes_ing]]-E643)/E643</f>
        <v>3.897809600474463E-3</v>
      </c>
      <c r="G644" s="2">
        <f>LN(int_data[[#This Row],[closes_ing]]/E643)</f>
        <v>3.8902328228095913E-3</v>
      </c>
    </row>
    <row r="645" spans="1:7" x14ac:dyDescent="0.2">
      <c r="A645" s="1">
        <v>45570</v>
      </c>
      <c r="B645">
        <v>80.22</v>
      </c>
      <c r="C645" s="2">
        <f>(int_data[[#This Row],[closes_alior]]-B644)/B644</f>
        <v>-3.7383177570094877E-4</v>
      </c>
      <c r="D645" s="2">
        <f>LN(int_data[[#This Row],[closes_alior]]/B644)</f>
        <v>-3.7390166821843962E-4</v>
      </c>
      <c r="E645">
        <v>237.41333333333299</v>
      </c>
      <c r="F645" s="2">
        <f>(int_data[[#This Row],[closes_ing]]-E644)/E644</f>
        <v>1.9554055004557805E-3</v>
      </c>
      <c r="G645" s="2">
        <f>LN(int_data[[#This Row],[closes_ing]]/E644)</f>
        <v>1.9534961837073574E-3</v>
      </c>
    </row>
    <row r="646" spans="1:7" x14ac:dyDescent="0.2">
      <c r="A646" s="1">
        <v>45571</v>
      </c>
      <c r="B646">
        <v>80.19</v>
      </c>
      <c r="C646" s="2">
        <f>(int_data[[#This Row],[closes_alior]]-B645)/B645</f>
        <v>-3.7397157816007403E-4</v>
      </c>
      <c r="D646" s="2">
        <f>LN(int_data[[#This Row],[closes_alior]]/B645)</f>
        <v>-3.7404152296953034E-4</v>
      </c>
      <c r="E646">
        <v>237.87666666666701</v>
      </c>
      <c r="F646" s="2">
        <f>(int_data[[#This Row],[closes_ing]]-E645)/E645</f>
        <v>1.9515893519067493E-3</v>
      </c>
      <c r="G646" s="2">
        <f>LN(int_data[[#This Row],[closes_ing]]/E645)</f>
        <v>1.9496874754599484E-3</v>
      </c>
    </row>
    <row r="647" spans="1:7" x14ac:dyDescent="0.2">
      <c r="A647" s="1">
        <v>45572</v>
      </c>
      <c r="B647">
        <v>80.16</v>
      </c>
      <c r="C647" s="2">
        <f>(int_data[[#This Row],[closes_alior]]-B646)/B646</f>
        <v>-3.7411148522261051E-4</v>
      </c>
      <c r="D647" s="2">
        <f>LN(int_data[[#This Row],[closes_alior]]/B646)</f>
        <v>-3.741814823826544E-4</v>
      </c>
      <c r="E647">
        <v>238.34</v>
      </c>
      <c r="F647" s="2">
        <f>(int_data[[#This Row],[closes_ing]]-E646)/E646</f>
        <v>1.9477880694463371E-3</v>
      </c>
      <c r="G647" s="2">
        <f>LN(int_data[[#This Row],[closes_ing]]/E646)</f>
        <v>1.9458935898954402E-3</v>
      </c>
    </row>
    <row r="648" spans="1:7" x14ac:dyDescent="0.2">
      <c r="A648" s="1">
        <v>45573</v>
      </c>
      <c r="B648">
        <v>80.25</v>
      </c>
      <c r="C648" s="2">
        <f>(int_data[[#This Row],[closes_alior]]-B647)/B647</f>
        <v>1.1227544910180067E-3</v>
      </c>
      <c r="D648" s="2">
        <f>LN(int_data[[#This Row],[closes_alior]]/B647)</f>
        <v>1.1221246735705656E-3</v>
      </c>
      <c r="E648">
        <v>239.73</v>
      </c>
      <c r="F648" s="2">
        <f>(int_data[[#This Row],[closes_ing]]-E647)/E647</f>
        <v>5.8320046991691965E-3</v>
      </c>
      <c r="G648" s="2">
        <f>LN(int_data[[#This Row],[closes_ing]]/E647)</f>
        <v>5.8150643918208639E-3</v>
      </c>
    </row>
    <row r="649" spans="1:7" x14ac:dyDescent="0.2">
      <c r="A649" s="1">
        <v>45574</v>
      </c>
      <c r="B649">
        <v>84.56</v>
      </c>
      <c r="C649" s="2">
        <f>(int_data[[#This Row],[closes_alior]]-B648)/B648</f>
        <v>5.3707165109034297E-2</v>
      </c>
      <c r="D649" s="2">
        <f>LN(int_data[[#This Row],[closes_alior]]/B648)</f>
        <v>5.2314579551857067E-2</v>
      </c>
      <c r="E649">
        <v>242.97</v>
      </c>
      <c r="F649" s="2">
        <f>(int_data[[#This Row],[closes_ing]]-E648)/E648</f>
        <v>1.3515204605180867E-2</v>
      </c>
      <c r="G649" s="2">
        <f>LN(int_data[[#This Row],[closes_ing]]/E648)</f>
        <v>1.342468887452722E-2</v>
      </c>
    </row>
    <row r="650" spans="1:7" x14ac:dyDescent="0.2">
      <c r="A650" s="1">
        <v>45575</v>
      </c>
      <c r="B650">
        <v>85.29</v>
      </c>
      <c r="C650" s="2">
        <f>(int_data[[#This Row],[closes_alior]]-B649)/B649</f>
        <v>8.6329233680227518E-3</v>
      </c>
      <c r="D650" s="2">
        <f>LN(int_data[[#This Row],[closes_alior]]/B649)</f>
        <v>8.5958727690358897E-3</v>
      </c>
      <c r="E650">
        <v>242.51</v>
      </c>
      <c r="F650" s="2">
        <f>(int_data[[#This Row],[closes_ing]]-E649)/E649</f>
        <v>-1.8932378482940607E-3</v>
      </c>
      <c r="G650" s="2">
        <f>LN(int_data[[#This Row],[closes_ing]]/E649)</f>
        <v>-1.8950322882947065E-3</v>
      </c>
    </row>
    <row r="651" spans="1:7" x14ac:dyDescent="0.2">
      <c r="A651" s="1">
        <v>45576</v>
      </c>
      <c r="B651">
        <v>85.94</v>
      </c>
      <c r="C651" s="2">
        <f>(int_data[[#This Row],[closes_alior]]-B650)/B650</f>
        <v>7.6210575682963003E-3</v>
      </c>
      <c r="D651" s="2">
        <f>LN(int_data[[#This Row],[closes_alior]]/B650)</f>
        <v>7.5921640158307744E-3</v>
      </c>
      <c r="E651">
        <v>247.6</v>
      </c>
      <c r="F651" s="2">
        <f>(int_data[[#This Row],[closes_ing]]-E650)/E650</f>
        <v>2.0988825203084423E-2</v>
      </c>
      <c r="G651" s="2">
        <f>LN(int_data[[#This Row],[closes_ing]]/E650)</f>
        <v>2.0771594169727382E-2</v>
      </c>
    </row>
    <row r="652" spans="1:7" x14ac:dyDescent="0.2">
      <c r="A652" s="1">
        <v>45577</v>
      </c>
      <c r="B652">
        <v>86.296666666666695</v>
      </c>
      <c r="C652" s="2">
        <f>(int_data[[#This Row],[closes_alior]]-B651)/B651</f>
        <v>4.1501822977274561E-3</v>
      </c>
      <c r="D652" s="2">
        <f>LN(int_data[[#This Row],[closes_alior]]/B651)</f>
        <v>4.1415940448521031E-3</v>
      </c>
      <c r="E652">
        <v>248.523333333333</v>
      </c>
      <c r="F652" s="2">
        <f>(int_data[[#This Row],[closes_ing]]-E651)/E651</f>
        <v>3.7291330102302311E-3</v>
      </c>
      <c r="G652" s="2">
        <f>LN(int_data[[#This Row],[closes_ing]]/E651)</f>
        <v>3.7221970318356253E-3</v>
      </c>
    </row>
    <row r="653" spans="1:7" x14ac:dyDescent="0.2">
      <c r="A653" s="1">
        <v>45578</v>
      </c>
      <c r="B653">
        <v>86.653333333333293</v>
      </c>
      <c r="C653" s="2">
        <f>(int_data[[#This Row],[closes_alior]]-B652)/B652</f>
        <v>4.1330294719757188E-3</v>
      </c>
      <c r="D653" s="2">
        <f>LN(int_data[[#This Row],[closes_alior]]/B652)</f>
        <v>4.1245119663368256E-3</v>
      </c>
      <c r="E653">
        <v>249.446666666667</v>
      </c>
      <c r="F653" s="2">
        <f>(int_data[[#This Row],[closes_ing]]-E652)/E652</f>
        <v>3.7152782434942441E-3</v>
      </c>
      <c r="G653" s="2">
        <f>LN(int_data[[#This Row],[closes_ing]]/E652)</f>
        <v>3.7083936441466318E-3</v>
      </c>
    </row>
    <row r="654" spans="1:7" x14ac:dyDescent="0.2">
      <c r="A654" s="1">
        <v>45579</v>
      </c>
      <c r="B654">
        <v>87.01</v>
      </c>
      <c r="C654" s="2">
        <f>(int_data[[#This Row],[closes_alior]]-B653)/B653</f>
        <v>4.1160178489003533E-3</v>
      </c>
      <c r="D654" s="2">
        <f>LN(int_data[[#This Row],[closes_alior]]/B653)</f>
        <v>4.1075702198951416E-3</v>
      </c>
      <c r="E654">
        <v>250.37</v>
      </c>
      <c r="F654" s="2">
        <f>(int_data[[#This Row],[closes_ing]]-E653)/E653</f>
        <v>3.7015260443100887E-3</v>
      </c>
      <c r="G654" s="2">
        <f>LN(int_data[[#This Row],[closes_ing]]/E653)</f>
        <v>3.6946922552223865E-3</v>
      </c>
    </row>
    <row r="655" spans="1:7" x14ac:dyDescent="0.2">
      <c r="A655" s="1">
        <v>45580</v>
      </c>
      <c r="B655">
        <v>86.67</v>
      </c>
      <c r="C655" s="2">
        <f>(int_data[[#This Row],[closes_alior]]-B654)/B654</f>
        <v>-3.9075968279508495E-3</v>
      </c>
      <c r="D655" s="2">
        <f>LN(int_data[[#This Row],[closes_alior]]/B654)</f>
        <v>-3.915251431679501E-3</v>
      </c>
      <c r="E655">
        <v>255.93</v>
      </c>
      <c r="F655" s="2">
        <f>(int_data[[#This Row],[closes_ing]]-E654)/E654</f>
        <v>2.2207133442505102E-2</v>
      </c>
      <c r="G655" s="2">
        <f>LN(int_data[[#This Row],[closes_ing]]/E654)</f>
        <v>2.1964145847067396E-2</v>
      </c>
    </row>
    <row r="656" spans="1:7" x14ac:dyDescent="0.2">
      <c r="A656" s="1">
        <v>45581</v>
      </c>
      <c r="B656">
        <v>87.7</v>
      </c>
      <c r="C656" s="2">
        <f>(int_data[[#This Row],[closes_alior]]-B655)/B655</f>
        <v>1.1884158301603798E-2</v>
      </c>
      <c r="D656" s="2">
        <f>LN(int_data[[#This Row],[closes_alior]]/B655)</f>
        <v>1.1814096231883831E-2</v>
      </c>
      <c r="E656">
        <v>254.08</v>
      </c>
      <c r="F656" s="2">
        <f>(int_data[[#This Row],[closes_ing]]-E655)/E655</f>
        <v>-7.2285390536474597E-3</v>
      </c>
      <c r="G656" s="2">
        <f>LN(int_data[[#This Row],[closes_ing]]/E655)</f>
        <v>-7.254791529942203E-3</v>
      </c>
    </row>
    <row r="657" spans="1:7" x14ac:dyDescent="0.2">
      <c r="A657" s="1">
        <v>45582</v>
      </c>
      <c r="B657">
        <v>85.01</v>
      </c>
      <c r="C657" s="2">
        <f>(int_data[[#This Row],[closes_alior]]-B656)/B656</f>
        <v>-3.0672748004560976E-2</v>
      </c>
      <c r="D657" s="2">
        <f>LN(int_data[[#This Row],[closes_alior]]/B656)</f>
        <v>-3.1153002748869854E-2</v>
      </c>
      <c r="E657">
        <v>242.51</v>
      </c>
      <c r="F657" s="2">
        <f>(int_data[[#This Row],[closes_ing]]-E656)/E656</f>
        <v>-4.5536838790932073E-2</v>
      </c>
      <c r="G657" s="2">
        <f>LN(int_data[[#This Row],[closes_ing]]/E656)</f>
        <v>-4.660623141805742E-2</v>
      </c>
    </row>
    <row r="658" spans="1:7" x14ac:dyDescent="0.2">
      <c r="A658" s="1">
        <v>45583</v>
      </c>
      <c r="B658">
        <v>85.87</v>
      </c>
      <c r="C658" s="2">
        <f>(int_data[[#This Row],[closes_alior]]-B657)/B657</f>
        <v>1.0116456887425001E-2</v>
      </c>
      <c r="D658" s="2">
        <f>LN(int_data[[#This Row],[closes_alior]]/B657)</f>
        <v>1.0065628055125899E-2</v>
      </c>
      <c r="E658">
        <v>245.28</v>
      </c>
      <c r="F658" s="2">
        <f>(int_data[[#This Row],[closes_ing]]-E657)/E657</f>
        <v>1.1422209393427118E-2</v>
      </c>
      <c r="G658" s="2">
        <f>LN(int_data[[#This Row],[closes_ing]]/E657)</f>
        <v>1.1357468482790444E-2</v>
      </c>
    </row>
    <row r="659" spans="1:7" x14ac:dyDescent="0.2">
      <c r="A659" s="1">
        <v>45584</v>
      </c>
      <c r="B659">
        <v>85.566666666666706</v>
      </c>
      <c r="C659" s="2">
        <f>(int_data[[#This Row],[closes_alior]]-B658)/B658</f>
        <v>-3.5324715655444161E-3</v>
      </c>
      <c r="D659" s="2">
        <f>LN(int_data[[#This Row],[closes_alior]]/B658)</f>
        <v>-3.5387254754078975E-3</v>
      </c>
      <c r="E659">
        <v>246.053333333333</v>
      </c>
      <c r="F659" s="2">
        <f>(int_data[[#This Row],[closes_ing]]-E658)/E658</f>
        <v>3.1528593172415178E-3</v>
      </c>
      <c r="G659" s="2">
        <f>LN(int_data[[#This Row],[closes_ing]]/E658)</f>
        <v>3.1478994786852386E-3</v>
      </c>
    </row>
    <row r="660" spans="1:7" x14ac:dyDescent="0.2">
      <c r="A660" s="1">
        <v>45585</v>
      </c>
      <c r="B660">
        <v>85.263333333333307</v>
      </c>
      <c r="C660" s="2">
        <f>(int_data[[#This Row],[closes_alior]]-B659)/B659</f>
        <v>-3.5449941566037986E-3</v>
      </c>
      <c r="D660" s="2">
        <f>LN(int_data[[#This Row],[closes_alior]]/B659)</f>
        <v>-3.5512925379446664E-3</v>
      </c>
      <c r="E660">
        <v>246.82666666666699</v>
      </c>
      <c r="F660" s="2">
        <f>(int_data[[#This Row],[closes_ing]]-E659)/E659</f>
        <v>3.1429500379348461E-3</v>
      </c>
      <c r="G660" s="2">
        <f>LN(int_data[[#This Row],[closes_ing]]/E659)</f>
        <v>3.1380212949592514E-3</v>
      </c>
    </row>
    <row r="661" spans="1:7" x14ac:dyDescent="0.2">
      <c r="A661" s="1">
        <v>45586</v>
      </c>
      <c r="B661">
        <v>84.96</v>
      </c>
      <c r="C661" s="2">
        <f>(int_data[[#This Row],[closes_alior]]-B660)/B660</f>
        <v>-3.5576058485474022E-3</v>
      </c>
      <c r="D661" s="2">
        <f>LN(int_data[[#This Row],[closes_alior]]/B660)</f>
        <v>-3.5639491774121621E-3</v>
      </c>
      <c r="E661">
        <v>247.6</v>
      </c>
      <c r="F661" s="2">
        <f>(int_data[[#This Row],[closes_ing]]-E660)/E660</f>
        <v>3.1331028522026188E-3</v>
      </c>
      <c r="G661" s="2">
        <f>LN(int_data[[#This Row],[closes_ing]]/E660)</f>
        <v>3.1282049132922794E-3</v>
      </c>
    </row>
    <row r="662" spans="1:7" x14ac:dyDescent="0.2">
      <c r="A662" s="1">
        <v>45587</v>
      </c>
      <c r="B662">
        <v>82.91</v>
      </c>
      <c r="C662" s="2">
        <f>(int_data[[#This Row],[closes_alior]]-B661)/B661</f>
        <v>-2.4129001883239139E-2</v>
      </c>
      <c r="D662" s="2">
        <f>LN(int_data[[#This Row],[closes_alior]]/B661)</f>
        <v>-2.4424875365501385E-2</v>
      </c>
      <c r="E662">
        <v>238.8</v>
      </c>
      <c r="F662" s="2">
        <f>(int_data[[#This Row],[closes_ing]]-E661)/E661</f>
        <v>-3.5541195476575055E-2</v>
      </c>
      <c r="G662" s="2">
        <f>LN(int_data[[#This Row],[closes_ing]]/E661)</f>
        <v>-3.6188159291993975E-2</v>
      </c>
    </row>
    <row r="663" spans="1:7" x14ac:dyDescent="0.2">
      <c r="A663" s="1">
        <v>45588</v>
      </c>
      <c r="B663">
        <v>82.98</v>
      </c>
      <c r="C663" s="2">
        <f>(int_data[[#This Row],[closes_alior]]-B662)/B662</f>
        <v>8.4428898805943061E-4</v>
      </c>
      <c r="D663" s="2">
        <f>LN(int_data[[#This Row],[closes_alior]]/B662)</f>
        <v>8.4393277659449296E-4</v>
      </c>
      <c r="E663">
        <v>240.19</v>
      </c>
      <c r="F663" s="2">
        <f>(int_data[[#This Row],[closes_ing]]-E662)/E662</f>
        <v>5.8207705192629237E-3</v>
      </c>
      <c r="G663" s="2">
        <f>LN(int_data[[#This Row],[closes_ing]]/E662)</f>
        <v>5.8038952874459671E-3</v>
      </c>
    </row>
    <row r="664" spans="1:7" x14ac:dyDescent="0.2">
      <c r="A664" s="1">
        <v>45589</v>
      </c>
      <c r="B664">
        <v>81.25</v>
      </c>
      <c r="C664" s="2">
        <f>(int_data[[#This Row],[closes_alior]]-B663)/B663</f>
        <v>-2.0848397204145625E-2</v>
      </c>
      <c r="D664" s="2">
        <f>LN(int_data[[#This Row],[closes_alior]]/B663)</f>
        <v>-2.1068793694875063E-2</v>
      </c>
      <c r="E664">
        <v>239.73</v>
      </c>
      <c r="F664" s="2">
        <f>(int_data[[#This Row],[closes_ing]]-E663)/E663</f>
        <v>-1.9151505058495688E-3</v>
      </c>
      <c r="G664" s="2">
        <f>LN(int_data[[#This Row],[closes_ing]]/E663)</f>
        <v>-1.9169867514118824E-3</v>
      </c>
    </row>
    <row r="665" spans="1:7" x14ac:dyDescent="0.2">
      <c r="A665" s="1">
        <v>45590</v>
      </c>
      <c r="B665">
        <v>80.540000000000006</v>
      </c>
      <c r="C665" s="2">
        <f>(int_data[[#This Row],[closes_alior]]-B664)/B664</f>
        <v>-8.7384615384614624E-3</v>
      </c>
      <c r="D665" s="2">
        <f>LN(int_data[[#This Row],[closes_alior]]/B664)</f>
        <v>-8.7768657865386918E-3</v>
      </c>
      <c r="E665">
        <v>236.49</v>
      </c>
      <c r="F665" s="2">
        <f>(int_data[[#This Row],[closes_ing]]-E664)/E664</f>
        <v>-1.3515204605180749E-2</v>
      </c>
      <c r="G665" s="2">
        <f>LN(int_data[[#This Row],[closes_ing]]/E664)</f>
        <v>-1.360736631455447E-2</v>
      </c>
    </row>
    <row r="666" spans="1:7" x14ac:dyDescent="0.2">
      <c r="A666" s="1">
        <v>45591</v>
      </c>
      <c r="B666">
        <v>80.203333333333305</v>
      </c>
      <c r="C666" s="2">
        <f>(int_data[[#This Row],[closes_alior]]-B665)/B665</f>
        <v>-4.180117539939179E-3</v>
      </c>
      <c r="D666" s="2">
        <f>LN(int_data[[#This Row],[closes_alior]]/B665)</f>
        <v>-4.1888786547800592E-3</v>
      </c>
      <c r="E666">
        <v>235.87333333333299</v>
      </c>
      <c r="F666" s="2">
        <f>(int_data[[#This Row],[closes_ing]]-E665)/E665</f>
        <v>-2.6075803064273977E-3</v>
      </c>
      <c r="G666" s="2">
        <f>LN(int_data[[#This Row],[closes_ing]]/E665)</f>
        <v>-2.6109859655960767E-3</v>
      </c>
    </row>
    <row r="667" spans="1:7" x14ac:dyDescent="0.2">
      <c r="A667" s="1">
        <v>45592</v>
      </c>
      <c r="B667">
        <v>79.866666666666703</v>
      </c>
      <c r="C667" s="2">
        <f>(int_data[[#This Row],[closes_alior]]-B666)/B666</f>
        <v>-4.1976642699796621E-3</v>
      </c>
      <c r="D667" s="2">
        <f>LN(int_data[[#This Row],[closes_alior]]/B666)</f>
        <v>-4.2064991953431252E-3</v>
      </c>
      <c r="E667">
        <v>235.256666666667</v>
      </c>
      <c r="F667" s="2">
        <f>(int_data[[#This Row],[closes_ing]]-E666)/E666</f>
        <v>-2.6143975580085062E-3</v>
      </c>
      <c r="G667" s="2">
        <f>LN(int_data[[#This Row],[closes_ing]]/E666)</f>
        <v>-2.6178210635423287E-3</v>
      </c>
    </row>
    <row r="668" spans="1:7" x14ac:dyDescent="0.2">
      <c r="A668" s="1">
        <v>45593</v>
      </c>
      <c r="B668">
        <v>79.53</v>
      </c>
      <c r="C668" s="2">
        <f>(int_data[[#This Row],[closes_alior]]-B667)/B667</f>
        <v>-4.215358931553022E-3</v>
      </c>
      <c r="D668" s="2">
        <f>LN(int_data[[#This Row],[closes_alior]]/B667)</f>
        <v>-4.2242686041411475E-3</v>
      </c>
      <c r="E668">
        <v>234.64</v>
      </c>
      <c r="F668" s="2">
        <f>(int_data[[#This Row],[closes_ing]]-E667)/E667</f>
        <v>-2.6212505490472012E-3</v>
      </c>
      <c r="G668" s="2">
        <f>LN(int_data[[#This Row],[closes_ing]]/E667)</f>
        <v>-2.6246920415926083E-3</v>
      </c>
    </row>
    <row r="669" spans="1:7" x14ac:dyDescent="0.2">
      <c r="A669" s="1">
        <v>45594</v>
      </c>
      <c r="B669">
        <v>83.11</v>
      </c>
      <c r="C669" s="2">
        <f>(int_data[[#This Row],[closes_alior]]-B668)/B668</f>
        <v>4.5014459952219268E-2</v>
      </c>
      <c r="D669" s="2">
        <f>LN(int_data[[#This Row],[closes_alior]]/B668)</f>
        <v>4.4030722595891136E-2</v>
      </c>
      <c r="E669">
        <v>232.32</v>
      </c>
      <c r="F669" s="2">
        <f>(int_data[[#This Row],[closes_ing]]-E668)/E668</f>
        <v>-9.8874872144561598E-3</v>
      </c>
      <c r="G669" s="2">
        <f>LN(int_data[[#This Row],[closes_ing]]/E668)</f>
        <v>-9.9366930327643432E-3</v>
      </c>
    </row>
    <row r="670" spans="1:7" x14ac:dyDescent="0.2">
      <c r="A670" s="1">
        <v>45595</v>
      </c>
      <c r="B670">
        <v>80.819999999999993</v>
      </c>
      <c r="C670" s="2">
        <f>(int_data[[#This Row],[closes_alior]]-B669)/B669</f>
        <v>-2.7553844302731396E-2</v>
      </c>
      <c r="D670" s="2">
        <f>LN(int_data[[#This Row],[closes_alior]]/B669)</f>
        <v>-2.7940571914607491E-2</v>
      </c>
      <c r="E670">
        <v>236.03</v>
      </c>
      <c r="F670" s="2">
        <f>(int_data[[#This Row],[closes_ing]]-E669)/E669</f>
        <v>1.5969352617079925E-2</v>
      </c>
      <c r="G670" s="2">
        <f>LN(int_data[[#This Row],[closes_ing]]/E669)</f>
        <v>1.5843183954356396E-2</v>
      </c>
    </row>
    <row r="671" spans="1:7" x14ac:dyDescent="0.2">
      <c r="A671" s="1">
        <v>45596</v>
      </c>
      <c r="B671">
        <v>79.42</v>
      </c>
      <c r="C671" s="2">
        <f>(int_data[[#This Row],[closes_alior]]-B670)/B670</f>
        <v>-1.7322444939371337E-2</v>
      </c>
      <c r="D671" s="2">
        <f>LN(int_data[[#This Row],[closes_alior]]/B670)</f>
        <v>-1.7474233947222063E-2</v>
      </c>
      <c r="E671">
        <v>230.01</v>
      </c>
      <c r="F671" s="2">
        <f>(int_data[[#This Row],[closes_ing]]-E670)/E670</f>
        <v>-2.5505232385713724E-2</v>
      </c>
      <c r="G671" s="2">
        <f>LN(int_data[[#This Row],[closes_ing]]/E670)</f>
        <v>-2.5836129351874914E-2</v>
      </c>
    </row>
    <row r="672" spans="1:7" x14ac:dyDescent="0.2">
      <c r="A672" s="1">
        <v>45597</v>
      </c>
      <c r="B672">
        <v>80.287499999999994</v>
      </c>
      <c r="C672" s="2">
        <f>(int_data[[#This Row],[closes_alior]]-B671)/B671</f>
        <v>1.0922941324603282E-2</v>
      </c>
      <c r="D672" s="2">
        <f>LN(int_data[[#This Row],[closes_alior]]/B671)</f>
        <v>1.0863716880805349E-2</v>
      </c>
      <c r="E672">
        <v>229.89500000000001</v>
      </c>
      <c r="F672" s="2">
        <f>(int_data[[#This Row],[closes_ing]]-E671)/E671</f>
        <v>-4.9997826181461967E-4</v>
      </c>
      <c r="G672" s="2">
        <f>LN(int_data[[#This Row],[closes_ing]]/E671)</f>
        <v>-5.0010329262258654E-4</v>
      </c>
    </row>
    <row r="673" spans="1:7" x14ac:dyDescent="0.2">
      <c r="A673" s="1">
        <v>45598</v>
      </c>
      <c r="B673">
        <v>81.155000000000001</v>
      </c>
      <c r="C673" s="2">
        <f>(int_data[[#This Row],[closes_alior]]-B672)/B672</f>
        <v>1.0804919819399121E-2</v>
      </c>
      <c r="D673" s="2">
        <f>LN(int_data[[#This Row],[closes_alior]]/B672)</f>
        <v>1.0746963773123085E-2</v>
      </c>
      <c r="E673">
        <v>229.78</v>
      </c>
      <c r="F673" s="2">
        <f>(int_data[[#This Row],[closes_ing]]-E672)/E672</f>
        <v>-5.0022836512324796E-4</v>
      </c>
      <c r="G673" s="2">
        <f>LN(int_data[[#This Row],[closes_ing]]/E672)</f>
        <v>-5.0035352107128165E-4</v>
      </c>
    </row>
    <row r="674" spans="1:7" x14ac:dyDescent="0.2">
      <c r="A674" s="1">
        <v>45599</v>
      </c>
      <c r="B674">
        <v>82.022499999999994</v>
      </c>
      <c r="C674" s="2">
        <f>(int_data[[#This Row],[closes_alior]]-B673)/B673</f>
        <v>1.068942147741966E-2</v>
      </c>
      <c r="D674" s="2">
        <f>LN(int_data[[#This Row],[closes_alior]]/B673)</f>
        <v>1.0632693513003404E-2</v>
      </c>
      <c r="E674">
        <v>229.66499999999999</v>
      </c>
      <c r="F674" s="2">
        <f>(int_data[[#This Row],[closes_ing]]-E673)/E673</f>
        <v>-5.0047871877451956E-4</v>
      </c>
      <c r="G674" s="2">
        <f>LN(int_data[[#This Row],[closes_ing]]/E673)</f>
        <v>-5.0060400005069164E-4</v>
      </c>
    </row>
    <row r="675" spans="1:7" x14ac:dyDescent="0.2">
      <c r="A675" s="1">
        <v>45600</v>
      </c>
      <c r="B675">
        <v>82.89</v>
      </c>
      <c r="C675" s="2">
        <f>(int_data[[#This Row],[closes_alior]]-B674)/B674</f>
        <v>1.0576366240970549E-2</v>
      </c>
      <c r="D675" s="2">
        <f>LN(int_data[[#This Row],[closes_alior]]/B674)</f>
        <v>1.0520827733397532E-2</v>
      </c>
      <c r="E675">
        <v>229.55</v>
      </c>
      <c r="F675" s="2">
        <f>(int_data[[#This Row],[closes_ing]]-E674)/E674</f>
        <v>-5.0072932314449597E-4</v>
      </c>
      <c r="G675" s="2">
        <f>LN(int_data[[#This Row],[closes_ing]]/E674)</f>
        <v>-5.0085472993700332E-4</v>
      </c>
    </row>
    <row r="676" spans="1:7" x14ac:dyDescent="0.2">
      <c r="A676" s="1">
        <v>45601</v>
      </c>
      <c r="B676">
        <v>82.87</v>
      </c>
      <c r="C676" s="2">
        <f>(int_data[[#This Row],[closes_alior]]-B675)/B675</f>
        <v>-2.4128362890573073E-4</v>
      </c>
      <c r="D676" s="2">
        <f>LN(int_data[[#This Row],[closes_alior]]/B675)</f>
        <v>-2.4131274248371149E-4</v>
      </c>
      <c r="E676">
        <v>230.94</v>
      </c>
      <c r="F676" s="2">
        <f>(int_data[[#This Row],[closes_ing]]-E675)/E675</f>
        <v>6.0553256371160373E-3</v>
      </c>
      <c r="G676" s="2">
        <f>LN(int_data[[#This Row],[closes_ing]]/E675)</f>
        <v>6.0370658284786835E-3</v>
      </c>
    </row>
    <row r="677" spans="1:7" x14ac:dyDescent="0.2">
      <c r="A677" s="1">
        <v>45602</v>
      </c>
      <c r="B677">
        <v>81.98</v>
      </c>
      <c r="C677" s="2">
        <f>(int_data[[#This Row],[closes_alior]]-B676)/B676</f>
        <v>-1.073971280318572E-2</v>
      </c>
      <c r="D677" s="2">
        <f>LN(int_data[[#This Row],[closes_alior]]/B676)</f>
        <v>-1.079779978475965E-2</v>
      </c>
      <c r="E677">
        <v>228.16</v>
      </c>
      <c r="F677" s="2">
        <f>(int_data[[#This Row],[closes_ing]]-E676)/E676</f>
        <v>-1.2037758725210016E-2</v>
      </c>
      <c r="G677" s="2">
        <f>LN(int_data[[#This Row],[closes_ing]]/E676)</f>
        <v>-1.2110799297778694E-2</v>
      </c>
    </row>
    <row r="678" spans="1:7" x14ac:dyDescent="0.2">
      <c r="A678" s="1">
        <v>45603</v>
      </c>
      <c r="B678">
        <v>88.19</v>
      </c>
      <c r="C678" s="2">
        <f>(int_data[[#This Row],[closes_alior]]-B677)/B677</f>
        <v>7.5750182971456373E-2</v>
      </c>
      <c r="D678" s="2">
        <f>LN(int_data[[#This Row],[closes_alior]]/B677)</f>
        <v>7.3018262823897881E-2</v>
      </c>
      <c r="E678">
        <v>236.03</v>
      </c>
      <c r="F678" s="2">
        <f>(int_data[[#This Row],[closes_ing]]-E677)/E677</f>
        <v>3.449333800841517E-2</v>
      </c>
      <c r="G678" s="2">
        <f>LN(int_data[[#This Row],[closes_ing]]/E677)</f>
        <v>3.3911778364856558E-2</v>
      </c>
    </row>
    <row r="679" spans="1:7" x14ac:dyDescent="0.2">
      <c r="A679" s="1">
        <v>45604</v>
      </c>
      <c r="B679">
        <v>87.05</v>
      </c>
      <c r="C679" s="2">
        <f>(int_data[[#This Row],[closes_alior]]-B678)/B678</f>
        <v>-1.2926635672978802E-2</v>
      </c>
      <c r="D679" s="2">
        <f>LN(int_data[[#This Row],[closes_alior]]/B678)</f>
        <v>-1.3010911685891378E-2</v>
      </c>
      <c r="E679">
        <v>234.64</v>
      </c>
      <c r="F679" s="2">
        <f>(int_data[[#This Row],[closes_ing]]-E678)/E678</f>
        <v>-5.8890818963691681E-3</v>
      </c>
      <c r="G679" s="2">
        <f>LN(int_data[[#This Row],[closes_ing]]/E678)</f>
        <v>-5.906490921592138E-3</v>
      </c>
    </row>
    <row r="680" spans="1:7" x14ac:dyDescent="0.2">
      <c r="A680" s="1">
        <v>45605</v>
      </c>
      <c r="B680">
        <v>86.777500000000003</v>
      </c>
      <c r="C680" s="2">
        <f>(int_data[[#This Row],[closes_alior]]-B679)/B679</f>
        <v>-3.1303848363009048E-3</v>
      </c>
      <c r="D680" s="2">
        <f>LN(int_data[[#This Row],[closes_alior]]/B679)</f>
        <v>-3.1352947401824668E-3</v>
      </c>
      <c r="E680">
        <v>236.0275</v>
      </c>
      <c r="F680" s="2">
        <f>(int_data[[#This Row],[closes_ing]]-E679)/E679</f>
        <v>5.9133140129560904E-3</v>
      </c>
      <c r="G680" s="2">
        <f>LN(int_data[[#This Row],[closes_ing]]/E679)</f>
        <v>5.895898991583574E-3</v>
      </c>
    </row>
    <row r="681" spans="1:7" x14ac:dyDescent="0.2">
      <c r="A681" s="1">
        <v>45606</v>
      </c>
      <c r="B681">
        <v>86.504999999999995</v>
      </c>
      <c r="C681" s="2">
        <f>(int_data[[#This Row],[closes_alior]]-B680)/B680</f>
        <v>-3.1402149174614151E-3</v>
      </c>
      <c r="D681" s="2">
        <f>LN(int_data[[#This Row],[closes_alior]]/B680)</f>
        <v>-3.1451557385299626E-3</v>
      </c>
      <c r="E681">
        <v>237.41499999999999</v>
      </c>
      <c r="F681" s="2">
        <f>(int_data[[#This Row],[closes_ing]]-E680)/E680</f>
        <v>5.8785522873393507E-3</v>
      </c>
      <c r="G681" s="2">
        <f>LN(int_data[[#This Row],[closes_ing]]/E680)</f>
        <v>5.8613410174684086E-3</v>
      </c>
    </row>
    <row r="682" spans="1:7" x14ac:dyDescent="0.2">
      <c r="A682" s="1">
        <v>45607</v>
      </c>
      <c r="B682">
        <v>86.232500000000002</v>
      </c>
      <c r="C682" s="2">
        <f>(int_data[[#This Row],[closes_alior]]-B681)/B681</f>
        <v>-3.1501069302351742E-3</v>
      </c>
      <c r="D682" s="2">
        <f>LN(int_data[[#This Row],[closes_alior]]/B681)</f>
        <v>-3.1550789614367622E-3</v>
      </c>
      <c r="E682">
        <v>238.80250000000001</v>
      </c>
      <c r="F682" s="2">
        <f>(int_data[[#This Row],[closes_ing]]-E681)/E681</f>
        <v>5.8441968704589734E-3</v>
      </c>
      <c r="G682" s="2">
        <f>LN(int_data[[#This Row],[closes_ing]]/E681)</f>
        <v>5.8271857971250868E-3</v>
      </c>
    </row>
    <row r="683" spans="1:7" x14ac:dyDescent="0.2">
      <c r="A683" s="1">
        <v>45608</v>
      </c>
      <c r="B683">
        <v>85.96</v>
      </c>
      <c r="C683" s="2">
        <f>(int_data[[#This Row],[closes_alior]]-B682)/B682</f>
        <v>-3.1600614617459536E-3</v>
      </c>
      <c r="D683" s="2">
        <f>LN(int_data[[#This Row],[closes_alior]]/B682)</f>
        <v>-3.1650649997392324E-3</v>
      </c>
      <c r="E683">
        <v>240.19</v>
      </c>
      <c r="F683" s="2">
        <f>(int_data[[#This Row],[closes_ing]]-E682)/E682</f>
        <v>5.8102406800598343E-3</v>
      </c>
      <c r="G683" s="2">
        <f>LN(int_data[[#This Row],[closes_ing]]/E682)</f>
        <v>5.7934263305202509E-3</v>
      </c>
    </row>
    <row r="684" spans="1:7" x14ac:dyDescent="0.2">
      <c r="A684" s="1">
        <v>45609</v>
      </c>
      <c r="B684">
        <v>82.11</v>
      </c>
      <c r="C684" s="2">
        <f>(int_data[[#This Row],[closes_alior]]-B683)/B683</f>
        <v>-4.4788273615635116E-2</v>
      </c>
      <c r="D684" s="2">
        <f>LN(int_data[[#This Row],[closes_alior]]/B683)</f>
        <v>-4.5822260053612215E-2</v>
      </c>
      <c r="E684">
        <v>239.27</v>
      </c>
      <c r="F684" s="2">
        <f>(int_data[[#This Row],[closes_ing]]-E683)/E683</f>
        <v>-3.8303010116990197E-3</v>
      </c>
      <c r="G684" s="2">
        <f>LN(int_data[[#This Row],[closes_ing]]/E683)</f>
        <v>-3.8376554003071348E-3</v>
      </c>
    </row>
    <row r="685" spans="1:7" x14ac:dyDescent="0.2">
      <c r="A685" s="1">
        <v>45610</v>
      </c>
      <c r="B685">
        <v>81.849999999999994</v>
      </c>
      <c r="C685" s="2">
        <f>(int_data[[#This Row],[closes_alior]]-B684)/B684</f>
        <v>-3.1664839848983693E-3</v>
      </c>
      <c r="D685" s="2">
        <f>LN(int_data[[#This Row],[closes_alior]]/B684)</f>
        <v>-3.1715079035535654E-3</v>
      </c>
      <c r="E685">
        <v>236.49</v>
      </c>
      <c r="F685" s="2">
        <f>(int_data[[#This Row],[closes_ing]]-E684)/E684</f>
        <v>-1.1618673465123087E-2</v>
      </c>
      <c r="G685" s="2">
        <f>LN(int_data[[#This Row],[closes_ing]]/E684)</f>
        <v>-1.1686697665659268E-2</v>
      </c>
    </row>
    <row r="686" spans="1:7" x14ac:dyDescent="0.2">
      <c r="A686" s="1">
        <v>45611</v>
      </c>
      <c r="B686">
        <v>80.45</v>
      </c>
      <c r="C686" s="2">
        <f>(int_data[[#This Row],[closes_alior]]-B685)/B685</f>
        <v>-1.7104459376908878E-2</v>
      </c>
      <c r="D686" s="2">
        <f>LN(int_data[[#This Row],[closes_alior]]/B685)</f>
        <v>-1.7252430378751564E-2</v>
      </c>
      <c r="E686">
        <v>233.71</v>
      </c>
      <c r="F686" s="2">
        <f>(int_data[[#This Row],[closes_ing]]-E685)/E685</f>
        <v>-1.1755253921941735E-2</v>
      </c>
      <c r="G686" s="2">
        <f>LN(int_data[[#This Row],[closes_ing]]/E685)</f>
        <v>-1.1824893208992819E-2</v>
      </c>
    </row>
    <row r="687" spans="1:7" x14ac:dyDescent="0.2">
      <c r="A687" s="1">
        <v>45612</v>
      </c>
      <c r="B687">
        <v>80.41</v>
      </c>
      <c r="C687" s="2">
        <f>(int_data[[#This Row],[closes_alior]]-B686)/B686</f>
        <v>-4.9720323182108456E-4</v>
      </c>
      <c r="D687" s="2">
        <f>LN(int_data[[#This Row],[closes_alior]]/B686)</f>
        <v>-4.973268783346488E-4</v>
      </c>
      <c r="E687">
        <v>233.09333333333299</v>
      </c>
      <c r="F687" s="2">
        <f>(int_data[[#This Row],[closes_ing]]-E686)/E686</f>
        <v>-2.6385976922982126E-3</v>
      </c>
      <c r="G687" s="2">
        <f>LN(int_data[[#This Row],[closes_ing]]/E686)</f>
        <v>-2.642084926812492E-3</v>
      </c>
    </row>
    <row r="688" spans="1:7" x14ac:dyDescent="0.2">
      <c r="A688" s="1">
        <v>45613</v>
      </c>
      <c r="B688">
        <v>80.37</v>
      </c>
      <c r="C688" s="2">
        <f>(int_data[[#This Row],[closes_alior]]-B687)/B687</f>
        <v>-4.9745056584991974E-4</v>
      </c>
      <c r="D688" s="2">
        <f>LN(int_data[[#This Row],[closes_alior]]/B687)</f>
        <v>-4.9757433543053228E-4</v>
      </c>
      <c r="E688">
        <v>232.476666666667</v>
      </c>
      <c r="F688" s="2">
        <f>(int_data[[#This Row],[closes_ing]]-E687)/E687</f>
        <v>-2.6455783091150599E-3</v>
      </c>
      <c r="G688" s="2">
        <f>LN(int_data[[#This Row],[closes_ing]]/E687)</f>
        <v>-2.6490840358914434E-3</v>
      </c>
    </row>
    <row r="689" spans="1:7" x14ac:dyDescent="0.2">
      <c r="A689" s="1">
        <v>45614</v>
      </c>
      <c r="B689">
        <v>80.33</v>
      </c>
      <c r="C689" s="2">
        <f>(int_data[[#This Row],[closes_alior]]-B688)/B688</f>
        <v>-4.9769814607448365E-4</v>
      </c>
      <c r="D689" s="2">
        <f>LN(int_data[[#This Row],[closes_alior]]/B688)</f>
        <v>-4.9782203890597347E-4</v>
      </c>
      <c r="E689">
        <v>231.86</v>
      </c>
      <c r="F689" s="2">
        <f>(int_data[[#This Row],[closes_ing]]-E688)/E688</f>
        <v>-2.6525959594525012E-3</v>
      </c>
      <c r="G689" s="2">
        <f>LN(int_data[[#This Row],[closes_ing]]/E688)</f>
        <v>-2.6561203259745088E-3</v>
      </c>
    </row>
    <row r="690" spans="1:7" x14ac:dyDescent="0.2">
      <c r="A690" s="1">
        <v>45615</v>
      </c>
      <c r="B690">
        <v>78.02</v>
      </c>
      <c r="C690" s="2">
        <f>(int_data[[#This Row],[closes_alior]]-B689)/B689</f>
        <v>-2.8756379932777323E-2</v>
      </c>
      <c r="D690" s="2">
        <f>LN(int_data[[#This Row],[closes_alior]]/B689)</f>
        <v>-2.9177946107210768E-2</v>
      </c>
      <c r="E690">
        <v>222.14</v>
      </c>
      <c r="F690" s="2">
        <f>(int_data[[#This Row],[closes_ing]]-E689)/E689</f>
        <v>-4.1921849391874523E-2</v>
      </c>
      <c r="G690" s="2">
        <f>LN(int_data[[#This Row],[closes_ing]]/E689)</f>
        <v>-4.28259275032815E-2</v>
      </c>
    </row>
    <row r="691" spans="1:7" x14ac:dyDescent="0.2">
      <c r="A691" s="1">
        <v>45616</v>
      </c>
      <c r="B691">
        <v>79.599999999999994</v>
      </c>
      <c r="C691" s="2">
        <f>(int_data[[#This Row],[closes_alior]]-B690)/B690</f>
        <v>2.0251217636503439E-2</v>
      </c>
      <c r="D691" s="2">
        <f>LN(int_data[[#This Row],[closes_alior]]/B690)</f>
        <v>2.0048888771826923E-2</v>
      </c>
      <c r="E691">
        <v>222.61</v>
      </c>
      <c r="F691" s="2">
        <f>(int_data[[#This Row],[closes_ing]]-E690)/E690</f>
        <v>2.1157828396507939E-3</v>
      </c>
      <c r="G691" s="2">
        <f>LN(int_data[[#This Row],[closes_ing]]/E690)</f>
        <v>2.1135477232638263E-3</v>
      </c>
    </row>
    <row r="692" spans="1:7" x14ac:dyDescent="0.2">
      <c r="A692" s="1">
        <v>45617</v>
      </c>
      <c r="B692">
        <v>79.599999999999994</v>
      </c>
      <c r="C692" s="2">
        <f>(int_data[[#This Row],[closes_alior]]-B691)/B691</f>
        <v>0</v>
      </c>
      <c r="D692" s="2">
        <f>LN(int_data[[#This Row],[closes_alior]]/B691)</f>
        <v>0</v>
      </c>
      <c r="E692">
        <v>226.31</v>
      </c>
      <c r="F692" s="2">
        <f>(int_data[[#This Row],[closes_ing]]-E691)/E691</f>
        <v>1.6620996361349394E-2</v>
      </c>
      <c r="G692" s="2">
        <f>LN(int_data[[#This Row],[closes_ing]]/E691)</f>
        <v>1.6484379330417152E-2</v>
      </c>
    </row>
    <row r="693" spans="1:7" x14ac:dyDescent="0.2">
      <c r="A693" s="1">
        <v>45618</v>
      </c>
      <c r="B693">
        <v>81.96</v>
      </c>
      <c r="C693" s="2">
        <f>(int_data[[#This Row],[closes_alior]]-B692)/B692</f>
        <v>2.9648241206030147E-2</v>
      </c>
      <c r="D693" s="2">
        <f>LN(int_data[[#This Row],[closes_alior]]/B692)</f>
        <v>2.9217230520361681E-2</v>
      </c>
      <c r="E693">
        <v>226.77</v>
      </c>
      <c r="F693" s="2">
        <f>(int_data[[#This Row],[closes_ing]]-E692)/E692</f>
        <v>2.0326101365384119E-3</v>
      </c>
      <c r="G693" s="2">
        <f>LN(int_data[[#This Row],[closes_ing]]/E692)</f>
        <v>2.0305471795400683E-3</v>
      </c>
    </row>
    <row r="694" spans="1:7" x14ac:dyDescent="0.2">
      <c r="A694" s="1">
        <v>45619</v>
      </c>
      <c r="B694">
        <v>82.716666666666697</v>
      </c>
      <c r="C694" s="2">
        <f>(int_data[[#This Row],[closes_alior]]-B693)/B693</f>
        <v>9.2321457621608507E-3</v>
      </c>
      <c r="D694" s="2">
        <f>LN(int_data[[#This Row],[closes_alior]]/B693)</f>
        <v>9.1897899946416211E-3</v>
      </c>
      <c r="E694">
        <v>223.066666666667</v>
      </c>
      <c r="F694" s="2">
        <f>(int_data[[#This Row],[closes_ing]]-E693)/E693</f>
        <v>-1.6330790374974671E-2</v>
      </c>
      <c r="G694" s="2">
        <f>LN(int_data[[#This Row],[closes_ing]]/E693)</f>
        <v>-1.6465607527634322E-2</v>
      </c>
    </row>
    <row r="695" spans="1:7" x14ac:dyDescent="0.2">
      <c r="A695" s="1">
        <v>45620</v>
      </c>
      <c r="B695">
        <v>83.473333333333301</v>
      </c>
      <c r="C695" s="2">
        <f>(int_data[[#This Row],[closes_alior]]-B694)/B694</f>
        <v>9.147692927663955E-3</v>
      </c>
      <c r="D695" s="2">
        <f>LN(int_data[[#This Row],[closes_alior]]/B694)</f>
        <v>9.1061062073510279E-3</v>
      </c>
      <c r="E695">
        <v>219.363333333333</v>
      </c>
      <c r="F695" s="2">
        <f>(int_data[[#This Row],[closes_ing]]-E694)/E694</f>
        <v>-1.6601912731622814E-2</v>
      </c>
      <c r="G695" s="2">
        <f>LN(int_data[[#This Row],[closes_ing]]/E694)</f>
        <v>-1.6741269025126772E-2</v>
      </c>
    </row>
    <row r="696" spans="1:7" x14ac:dyDescent="0.2">
      <c r="A696" s="1">
        <v>45621</v>
      </c>
      <c r="B696">
        <v>84.23</v>
      </c>
      <c r="C696" s="2">
        <f>(int_data[[#This Row],[closes_alior]]-B695)/B695</f>
        <v>9.0647711844106318E-3</v>
      </c>
      <c r="D696" s="2">
        <f>LN(int_data[[#This Row],[closes_alior]]/B695)</f>
        <v>9.023932754580943E-3</v>
      </c>
      <c r="E696">
        <v>215.66</v>
      </c>
      <c r="F696" s="2">
        <f>(int_data[[#This Row],[closes_ing]]-E695)/E695</f>
        <v>-1.6882189366194646E-2</v>
      </c>
      <c r="G696" s="2">
        <f>LN(int_data[[#This Row],[closes_ing]]/E695)</f>
        <v>-1.7026317965507704E-2</v>
      </c>
    </row>
    <row r="697" spans="1:7" x14ac:dyDescent="0.2">
      <c r="A697" s="1">
        <v>45622</v>
      </c>
      <c r="B697">
        <v>81.58</v>
      </c>
      <c r="C697" s="2">
        <f>(int_data[[#This Row],[closes_alior]]-B696)/B696</f>
        <v>-3.1461474534014072E-2</v>
      </c>
      <c r="D697" s="2">
        <f>LN(int_data[[#This Row],[closes_alior]]/B696)</f>
        <v>-3.1967018437859977E-2</v>
      </c>
      <c r="E697">
        <v>211.04</v>
      </c>
      <c r="F697" s="2">
        <f>(int_data[[#This Row],[closes_ing]]-E696)/E696</f>
        <v>-2.1422609663359012E-2</v>
      </c>
      <c r="G697" s="2">
        <f>LN(int_data[[#This Row],[closes_ing]]/E696)</f>
        <v>-2.1655404484921797E-2</v>
      </c>
    </row>
    <row r="698" spans="1:7" x14ac:dyDescent="0.2">
      <c r="A698" s="1">
        <v>45623</v>
      </c>
      <c r="B698">
        <v>81.709999999999994</v>
      </c>
      <c r="C698" s="2">
        <f>(int_data[[#This Row],[closes_alior]]-B697)/B697</f>
        <v>1.5935278254473578E-3</v>
      </c>
      <c r="D698" s="2">
        <f>LN(int_data[[#This Row],[closes_alior]]/B697)</f>
        <v>1.5922595072035682E-3</v>
      </c>
      <c r="E698">
        <v>210.11</v>
      </c>
      <c r="F698" s="2">
        <f>(int_data[[#This Row],[closes_ing]]-E697)/E697</f>
        <v>-4.4067475360120281E-3</v>
      </c>
      <c r="G698" s="2">
        <f>LN(int_data[[#This Row],[closes_ing]]/E697)</f>
        <v>-4.4164858680465699E-3</v>
      </c>
    </row>
    <row r="699" spans="1:7" x14ac:dyDescent="0.2">
      <c r="A699" s="1">
        <v>45624</v>
      </c>
      <c r="B699">
        <v>83.54</v>
      </c>
      <c r="C699" s="2">
        <f>(int_data[[#This Row],[closes_alior]]-B698)/B698</f>
        <v>2.2396279525150074E-2</v>
      </c>
      <c r="D699" s="2">
        <f>LN(int_data[[#This Row],[closes_alior]]/B698)</f>
        <v>2.2149165672413283E-2</v>
      </c>
      <c r="E699">
        <v>214.74</v>
      </c>
      <c r="F699" s="2">
        <f>(int_data[[#This Row],[closes_ing]]-E698)/E698</f>
        <v>2.2036076340964234E-2</v>
      </c>
      <c r="G699" s="2">
        <f>LN(int_data[[#This Row],[closes_ing]]/E698)</f>
        <v>2.1796790905031574E-2</v>
      </c>
    </row>
    <row r="700" spans="1:7" x14ac:dyDescent="0.2">
      <c r="A700" s="1">
        <v>45625</v>
      </c>
      <c r="B700">
        <v>82.96</v>
      </c>
      <c r="C700" s="2">
        <f>(int_data[[#This Row],[closes_alior]]-B699)/B699</f>
        <v>-6.9427819008859521E-3</v>
      </c>
      <c r="D700" s="2">
        <f>LN(int_data[[#This Row],[closes_alior]]/B699)</f>
        <v>-6.9669951477575164E-3</v>
      </c>
      <c r="E700">
        <v>218.9</v>
      </c>
      <c r="F700" s="2">
        <f>(int_data[[#This Row],[closes_ing]]-E699)/E699</f>
        <v>1.9372264133370572E-2</v>
      </c>
      <c r="G700" s="2">
        <f>LN(int_data[[#This Row],[closes_ing]]/E699)</f>
        <v>1.9187010522827903E-2</v>
      </c>
    </row>
    <row r="701" spans="1:7" x14ac:dyDescent="0.2">
      <c r="A701" s="1">
        <v>45626</v>
      </c>
      <c r="B701">
        <v>83.276666666666699</v>
      </c>
      <c r="C701" s="2">
        <f>(int_data[[#This Row],[closes_alior]]-B700)/B700</f>
        <v>3.8171006107365663E-3</v>
      </c>
      <c r="D701" s="2">
        <f>LN(int_data[[#This Row],[closes_alior]]/B700)</f>
        <v>3.8098339680011938E-3</v>
      </c>
      <c r="E701">
        <v>220.29</v>
      </c>
      <c r="F701" s="2">
        <f>(int_data[[#This Row],[closes_ing]]-E700)/E700</f>
        <v>6.349931475559554E-3</v>
      </c>
      <c r="G701" s="2">
        <f>LN(int_data[[#This Row],[closes_ing]]/E700)</f>
        <v>6.3298556028114437E-3</v>
      </c>
    </row>
    <row r="702" spans="1:7" x14ac:dyDescent="0.2">
      <c r="A702" s="1">
        <v>45627</v>
      </c>
      <c r="B702">
        <v>83.593333333333305</v>
      </c>
      <c r="C702" s="2">
        <f>(int_data[[#This Row],[closes_alior]]-B701)/B701</f>
        <v>3.802585758314925E-3</v>
      </c>
      <c r="D702" s="2">
        <f>LN(int_data[[#This Row],[closes_alior]]/B701)</f>
        <v>3.7953742050086626E-3</v>
      </c>
      <c r="E702">
        <v>221.68</v>
      </c>
      <c r="F702" s="2">
        <f>(int_data[[#This Row],[closes_ing]]-E701)/E701</f>
        <v>6.3098642698262057E-3</v>
      </c>
      <c r="G702" s="2">
        <f>LN(int_data[[#This Row],[closes_ing]]/E701)</f>
        <v>6.2900404230943029E-3</v>
      </c>
    </row>
    <row r="703" spans="1:7" x14ac:dyDescent="0.2">
      <c r="A703" s="1">
        <v>45628</v>
      </c>
      <c r="B703">
        <v>83.91</v>
      </c>
      <c r="C703" s="2">
        <f>(int_data[[#This Row],[closes_alior]]-B702)/B702</f>
        <v>3.7881808756682119E-3</v>
      </c>
      <c r="D703" s="2">
        <f>LN(int_data[[#This Row],[closes_alior]]/B702)</f>
        <v>3.7810237876961736E-3</v>
      </c>
      <c r="E703">
        <v>223.07</v>
      </c>
      <c r="F703" s="2">
        <f>(int_data[[#This Row],[closes_ing]]-E702)/E702</f>
        <v>6.2702995308552252E-3</v>
      </c>
      <c r="G703" s="2">
        <f>LN(int_data[[#This Row],[closes_ing]]/E702)</f>
        <v>6.2507229939674815E-3</v>
      </c>
    </row>
    <row r="704" spans="1:7" x14ac:dyDescent="0.2">
      <c r="A704" s="1">
        <v>45629</v>
      </c>
      <c r="B704">
        <v>82.83</v>
      </c>
      <c r="C704" s="2">
        <f>(int_data[[#This Row],[closes_alior]]-B703)/B703</f>
        <v>-1.2870933142652823E-2</v>
      </c>
      <c r="D704" s="2">
        <f>LN(int_data[[#This Row],[closes_alior]]/B703)</f>
        <v>-1.2954481271805316E-2</v>
      </c>
      <c r="E704">
        <v>217.52</v>
      </c>
      <c r="F704" s="2">
        <f>(int_data[[#This Row],[closes_ing]]-E703)/E703</f>
        <v>-2.4880082485318433E-2</v>
      </c>
      <c r="G704" s="2">
        <f>LN(int_data[[#This Row],[closes_ing]]/E703)</f>
        <v>-2.5194823224475207E-2</v>
      </c>
    </row>
    <row r="705" spans="1:7" x14ac:dyDescent="0.2">
      <c r="A705" s="1">
        <v>45630</v>
      </c>
      <c r="B705">
        <v>81.94</v>
      </c>
      <c r="C705" s="2">
        <f>(int_data[[#This Row],[closes_alior]]-B704)/B704</f>
        <v>-1.0744899191114338E-2</v>
      </c>
      <c r="D705" s="2">
        <f>LN(int_data[[#This Row],[closes_alior]]/B704)</f>
        <v>-1.0803042491447727E-2</v>
      </c>
      <c r="E705">
        <v>220.29</v>
      </c>
      <c r="F705" s="2">
        <f>(int_data[[#This Row],[closes_ing]]-E704)/E704</f>
        <v>1.2734461198970126E-2</v>
      </c>
      <c r="G705" s="2">
        <f>LN(int_data[[#This Row],[closes_ing]]/E704)</f>
        <v>1.265405980741347E-2</v>
      </c>
    </row>
    <row r="706" spans="1:7" x14ac:dyDescent="0.2">
      <c r="A706" s="1">
        <v>45631</v>
      </c>
      <c r="B706">
        <v>82.82</v>
      </c>
      <c r="C706" s="2">
        <f>(int_data[[#This Row],[closes_alior]]-B705)/B705</f>
        <v>1.0739565535757816E-2</v>
      </c>
      <c r="D706" s="2">
        <f>LN(int_data[[#This Row],[closes_alior]]/B705)</f>
        <v>1.0682305998696141E-2</v>
      </c>
      <c r="E706">
        <v>221.22</v>
      </c>
      <c r="F706" s="2">
        <f>(int_data[[#This Row],[closes_ing]]-E705)/E705</f>
        <v>4.2217077488765119E-3</v>
      </c>
      <c r="G706" s="2">
        <f>LN(int_data[[#This Row],[closes_ing]]/E705)</f>
        <v>4.2128213424792857E-3</v>
      </c>
    </row>
    <row r="707" spans="1:7" x14ac:dyDescent="0.2">
      <c r="A707" s="1">
        <v>45632</v>
      </c>
      <c r="B707">
        <v>82.02</v>
      </c>
      <c r="C707" s="2">
        <f>(int_data[[#This Row],[closes_alior]]-B706)/B706</f>
        <v>-9.6595025356193825E-3</v>
      </c>
      <c r="D707" s="2">
        <f>LN(int_data[[#This Row],[closes_alior]]/B706)</f>
        <v>-9.7064581535080113E-3</v>
      </c>
      <c r="E707">
        <v>230.47</v>
      </c>
      <c r="F707" s="2">
        <f>(int_data[[#This Row],[closes_ing]]-E706)/E706</f>
        <v>4.1813579242383145E-2</v>
      </c>
      <c r="G707" s="2">
        <f>LN(int_data[[#This Row],[closes_ing]]/E706)</f>
        <v>4.0963020648290979E-2</v>
      </c>
    </row>
    <row r="708" spans="1:7" x14ac:dyDescent="0.2">
      <c r="A708" s="1">
        <v>45633</v>
      </c>
      <c r="B708">
        <v>81.486666666666693</v>
      </c>
      <c r="C708" s="2">
        <f>(int_data[[#This Row],[closes_alior]]-B707)/B707</f>
        <v>-6.5024790701451235E-3</v>
      </c>
      <c r="D708" s="2">
        <f>LN(int_data[[#This Row],[closes_alior]]/B707)</f>
        <v>-6.5237122829057961E-3</v>
      </c>
      <c r="E708">
        <v>230.78</v>
      </c>
      <c r="F708" s="2">
        <f>(int_data[[#This Row],[closes_ing]]-E707)/E707</f>
        <v>1.3450774504273973E-3</v>
      </c>
      <c r="G708" s="2">
        <f>LN(int_data[[#This Row],[closes_ing]]/E707)</f>
        <v>1.3441736441223847E-3</v>
      </c>
    </row>
    <row r="709" spans="1:7" x14ac:dyDescent="0.2">
      <c r="A709" s="1">
        <v>45634</v>
      </c>
      <c r="B709">
        <v>80.953333333333305</v>
      </c>
      <c r="C709" s="2">
        <f>(int_data[[#This Row],[closes_alior]]-B708)/B708</f>
        <v>-6.545038043034297E-3</v>
      </c>
      <c r="D709" s="2">
        <f>LN(int_data[[#This Row],[closes_alior]]/B708)</f>
        <v>-6.5665507234445039E-3</v>
      </c>
      <c r="E709">
        <v>231.09</v>
      </c>
      <c r="F709" s="2">
        <f>(int_data[[#This Row],[closes_ing]]-E708)/E708</f>
        <v>1.3432706473697992E-3</v>
      </c>
      <c r="G709" s="2">
        <f>LN(int_data[[#This Row],[closes_ing]]/E708)</f>
        <v>1.3423692664623957E-3</v>
      </c>
    </row>
    <row r="710" spans="1:7" x14ac:dyDescent="0.2">
      <c r="A710" s="1">
        <v>45635</v>
      </c>
      <c r="B710">
        <v>80.42</v>
      </c>
      <c r="C710" s="2">
        <f>(int_data[[#This Row],[closes_alior]]-B709)/B709</f>
        <v>-6.5881577863786114E-3</v>
      </c>
      <c r="D710" s="2">
        <f>LN(int_data[[#This Row],[closes_alior]]/B709)</f>
        <v>-6.6099554884348028E-3</v>
      </c>
      <c r="E710">
        <v>231.4</v>
      </c>
      <c r="F710" s="2">
        <f>(int_data[[#This Row],[closes_ing]]-E709)/E709</f>
        <v>1.3414686918516694E-3</v>
      </c>
      <c r="G710" s="2">
        <f>LN(int_data[[#This Row],[closes_ing]]/E709)</f>
        <v>1.340569726592004E-3</v>
      </c>
    </row>
    <row r="711" spans="1:7" x14ac:dyDescent="0.2">
      <c r="A711" s="1">
        <v>45636</v>
      </c>
      <c r="B711">
        <v>80.87</v>
      </c>
      <c r="C711" s="2">
        <f>(int_data[[#This Row],[closes_alior]]-B710)/B710</f>
        <v>5.595622979358404E-3</v>
      </c>
      <c r="D711" s="2">
        <f>LN(int_data[[#This Row],[closes_alior]]/B710)</f>
        <v>5.5800256386027832E-3</v>
      </c>
      <c r="E711">
        <v>238.34</v>
      </c>
      <c r="F711" s="2">
        <f>(int_data[[#This Row],[closes_ing]]-E710)/E710</f>
        <v>2.9991356957649082E-2</v>
      </c>
      <c r="G711" s="2">
        <f>LN(int_data[[#This Row],[closes_ing]]/E710)</f>
        <v>2.9550410903083916E-2</v>
      </c>
    </row>
    <row r="712" spans="1:7" x14ac:dyDescent="0.2">
      <c r="A712" s="1">
        <v>45637</v>
      </c>
      <c r="B712">
        <v>80.83</v>
      </c>
      <c r="C712" s="2">
        <f>(int_data[[#This Row],[closes_alior]]-B711)/B711</f>
        <v>-4.9462099666138556E-4</v>
      </c>
      <c r="D712" s="2">
        <f>LN(int_data[[#This Row],[closes_alior]]/B711)</f>
        <v>-4.9474336197789055E-4</v>
      </c>
      <c r="E712">
        <v>237.42</v>
      </c>
      <c r="F712" s="2">
        <f>(int_data[[#This Row],[closes_ing]]-E711)/E711</f>
        <v>-3.8600318872200048E-3</v>
      </c>
      <c r="G712" s="2">
        <f>LN(int_data[[#This Row],[closes_ing]]/E711)</f>
        <v>-3.8675010372722016E-3</v>
      </c>
    </row>
    <row r="713" spans="1:7" x14ac:dyDescent="0.2">
      <c r="A713" s="1">
        <v>45638</v>
      </c>
      <c r="B713">
        <v>80.87</v>
      </c>
      <c r="C713" s="2">
        <f>(int_data[[#This Row],[closes_alior]]-B712)/B712</f>
        <v>4.9486576766059941E-4</v>
      </c>
      <c r="D713" s="2">
        <f>LN(int_data[[#This Row],[closes_alior]]/B712)</f>
        <v>4.9474336197792362E-4</v>
      </c>
      <c r="E713">
        <v>233.25</v>
      </c>
      <c r="F713" s="2">
        <f>(int_data[[#This Row],[closes_ing]]-E712)/E712</f>
        <v>-1.7563810967904925E-2</v>
      </c>
      <c r="G713" s="2">
        <f>LN(int_data[[#This Row],[closes_ing]]/E712)</f>
        <v>-1.7719884897934673E-2</v>
      </c>
    </row>
    <row r="714" spans="1:7" x14ac:dyDescent="0.2">
      <c r="A714" s="1">
        <v>45639</v>
      </c>
      <c r="B714">
        <v>81.58</v>
      </c>
      <c r="C714" s="2">
        <f>(int_data[[#This Row],[closes_alior]]-B713)/B713</f>
        <v>8.7795226907381434E-3</v>
      </c>
      <c r="D714" s="2">
        <f>LN(int_data[[#This Row],[closes_alior]]/B713)</f>
        <v>8.741206781681516E-3</v>
      </c>
      <c r="E714">
        <v>230.01</v>
      </c>
      <c r="F714" s="2">
        <f>(int_data[[#This Row],[closes_ing]]-E713)/E713</f>
        <v>-1.3890675241157596E-2</v>
      </c>
      <c r="G714" s="2">
        <f>LN(int_data[[#This Row],[closes_ing]]/E713)</f>
        <v>-1.3988053488540512E-2</v>
      </c>
    </row>
    <row r="715" spans="1:7" x14ac:dyDescent="0.2">
      <c r="A715" s="1">
        <v>45640</v>
      </c>
      <c r="B715">
        <v>82.01</v>
      </c>
      <c r="C715" s="2">
        <f>(int_data[[#This Row],[closes_alior]]-B714)/B714</f>
        <v>5.2708997303261441E-3</v>
      </c>
      <c r="D715" s="2">
        <f>LN(int_data[[#This Row],[closes_alior]]/B714)</f>
        <v>5.2570571589075138E-3</v>
      </c>
      <c r="E715">
        <v>229.856666666667</v>
      </c>
      <c r="F715" s="2">
        <f>(int_data[[#This Row],[closes_ing]]-E714)/E714</f>
        <v>-6.666376824181337E-4</v>
      </c>
      <c r="G715" s="2">
        <f>LN(int_data[[#This Row],[closes_ing]]/E714)</f>
        <v>-6.6685998411990862E-4</v>
      </c>
    </row>
    <row r="716" spans="1:7" x14ac:dyDescent="0.2">
      <c r="A716" s="1">
        <v>45641</v>
      </c>
      <c r="B716">
        <v>82.44</v>
      </c>
      <c r="C716" s="2">
        <f>(int_data[[#This Row],[closes_alior]]-B715)/B715</f>
        <v>5.2432630167051891E-3</v>
      </c>
      <c r="D716" s="2">
        <f>LN(int_data[[#This Row],[closes_alior]]/B715)</f>
        <v>5.2295649739383535E-3</v>
      </c>
      <c r="E716">
        <v>229.70333333333301</v>
      </c>
      <c r="F716" s="2">
        <f>(int_data[[#This Row],[closes_ing]]-E715)/E715</f>
        <v>-6.6708238467736184E-4</v>
      </c>
      <c r="G716" s="2">
        <f>LN(int_data[[#This Row],[closes_ing]]/E715)</f>
        <v>-6.6730498313120337E-4</v>
      </c>
    </row>
    <row r="717" spans="1:7" x14ac:dyDescent="0.2">
      <c r="A717" s="1">
        <v>45642</v>
      </c>
      <c r="B717">
        <v>82.87</v>
      </c>
      <c r="C717" s="2">
        <f>(int_data[[#This Row],[closes_alior]]-B716)/B716</f>
        <v>5.2159146045609754E-3</v>
      </c>
      <c r="D717" s="2">
        <f>LN(int_data[[#This Row],[closes_alior]]/B716)</f>
        <v>5.2023588386928814E-3</v>
      </c>
      <c r="E717">
        <v>229.55</v>
      </c>
      <c r="F717" s="2">
        <f>(int_data[[#This Row],[closes_ing]]-E716)/E716</f>
        <v>-6.6752768063006696E-4</v>
      </c>
      <c r="G717" s="2">
        <f>LN(int_data[[#This Row],[closes_ing]]/E716)</f>
        <v>-6.6775057643052131E-4</v>
      </c>
    </row>
    <row r="718" spans="1:7" x14ac:dyDescent="0.2">
      <c r="A718" s="1">
        <v>45643</v>
      </c>
      <c r="B718">
        <v>79.87</v>
      </c>
      <c r="C718" s="2">
        <f>(int_data[[#This Row],[closes_alior]]-B717)/B717</f>
        <v>-3.6201279111861953E-2</v>
      </c>
      <c r="D718" s="2">
        <f>LN(int_data[[#This Row],[closes_alior]]/B717)</f>
        <v>-3.6872801931653577E-2</v>
      </c>
      <c r="E718">
        <v>220.29</v>
      </c>
      <c r="F718" s="2">
        <f>(int_data[[#This Row],[closes_ing]]-E717)/E717</f>
        <v>-4.0339795251579262E-2</v>
      </c>
      <c r="G718" s="2">
        <f>LN(int_data[[#This Row],[closes_ing]]/E717)</f>
        <v>-4.1176010563602344E-2</v>
      </c>
    </row>
    <row r="719" spans="1:7" x14ac:dyDescent="0.2">
      <c r="A719" s="1">
        <v>45644</v>
      </c>
      <c r="B719">
        <v>80.87</v>
      </c>
      <c r="C719" s="2">
        <f>(int_data[[#This Row],[closes_alior]]-B718)/B718</f>
        <v>1.2520345561537497E-2</v>
      </c>
      <c r="D719" s="2">
        <f>LN(int_data[[#This Row],[closes_alior]]/B718)</f>
        <v>1.2442614178433172E-2</v>
      </c>
      <c r="E719">
        <v>224.92</v>
      </c>
      <c r="F719" s="2">
        <f>(int_data[[#This Row],[closes_ing]]-E718)/E718</f>
        <v>2.1017749330428052E-2</v>
      </c>
      <c r="G719" s="2">
        <f>LN(int_data[[#This Row],[closes_ing]]/E718)</f>
        <v>2.0799923292372072E-2</v>
      </c>
    </row>
    <row r="720" spans="1:7" x14ac:dyDescent="0.2">
      <c r="A720" s="1">
        <v>45645</v>
      </c>
      <c r="B720">
        <v>80.069999999999993</v>
      </c>
      <c r="C720" s="2">
        <f>(int_data[[#This Row],[closes_alior]]-B719)/B719</f>
        <v>-9.8924199332263048E-3</v>
      </c>
      <c r="D720" s="2">
        <f>LN(int_data[[#This Row],[closes_alior]]/B719)</f>
        <v>-9.9416750231884655E-3</v>
      </c>
      <c r="E720">
        <v>224.92</v>
      </c>
      <c r="F720" s="2">
        <f>(int_data[[#This Row],[closes_ing]]-E719)/E719</f>
        <v>0</v>
      </c>
      <c r="G720" s="2">
        <f>LN(int_data[[#This Row],[closes_ing]]/E719)</f>
        <v>0</v>
      </c>
    </row>
    <row r="721" spans="1:7" x14ac:dyDescent="0.2">
      <c r="A721" s="1">
        <v>45646</v>
      </c>
      <c r="B721">
        <v>78.73</v>
      </c>
      <c r="C721" s="2">
        <f>(int_data[[#This Row],[closes_alior]]-B720)/B720</f>
        <v>-1.6735356563007234E-2</v>
      </c>
      <c r="D721" s="2">
        <f>LN(int_data[[#This Row],[closes_alior]]/B720)</f>
        <v>-1.6876974888166547E-2</v>
      </c>
      <c r="E721">
        <v>233.71</v>
      </c>
      <c r="F721" s="2">
        <f>(int_data[[#This Row],[closes_ing]]-E720)/E720</f>
        <v>3.9080561977592125E-2</v>
      </c>
      <c r="G721" s="2">
        <f>LN(int_data[[#This Row],[closes_ing]]/E720)</f>
        <v>3.8336247106932807E-2</v>
      </c>
    </row>
    <row r="722" spans="1:7" x14ac:dyDescent="0.2">
      <c r="A722" s="1">
        <v>45647</v>
      </c>
      <c r="B722">
        <v>78.91</v>
      </c>
      <c r="C722" s="2">
        <f>(int_data[[#This Row],[closes_alior]]-B721)/B721</f>
        <v>2.2862949320461398E-3</v>
      </c>
      <c r="D722" s="2">
        <f>LN(int_data[[#This Row],[closes_alior]]/B721)</f>
        <v>2.2836853365676949E-3</v>
      </c>
      <c r="E722">
        <v>230.78</v>
      </c>
      <c r="F722" s="2">
        <f>(int_data[[#This Row],[closes_ing]]-E721)/E721</f>
        <v>-1.2536904710966612E-2</v>
      </c>
      <c r="G722" s="2">
        <f>LN(int_data[[#This Row],[closes_ing]]/E721)</f>
        <v>-1.2616154764412109E-2</v>
      </c>
    </row>
    <row r="723" spans="1:7" x14ac:dyDescent="0.2">
      <c r="A723" s="1">
        <v>45648</v>
      </c>
      <c r="B723">
        <v>79.09</v>
      </c>
      <c r="C723" s="2">
        <f>(int_data[[#This Row],[closes_alior]]-B722)/B722</f>
        <v>2.2810797110633233E-3</v>
      </c>
      <c r="D723" s="2">
        <f>LN(int_data[[#This Row],[closes_alior]]/B722)</f>
        <v>2.2784819983822807E-3</v>
      </c>
      <c r="E723">
        <v>227.85</v>
      </c>
      <c r="F723" s="2">
        <f>(int_data[[#This Row],[closes_ing]]-E722)/E722</f>
        <v>-1.2696074183204814E-2</v>
      </c>
      <c r="G723" s="2">
        <f>LN(int_data[[#This Row],[closes_ing]]/E722)</f>
        <v>-1.2777358056630165E-2</v>
      </c>
    </row>
    <row r="724" spans="1:7" x14ac:dyDescent="0.2">
      <c r="A724" s="1">
        <v>45649</v>
      </c>
      <c r="B724">
        <v>79.27</v>
      </c>
      <c r="C724" s="2">
        <f>(int_data[[#This Row],[closes_alior]]-B723)/B723</f>
        <v>2.2758882286002353E-3</v>
      </c>
      <c r="D724" s="2">
        <f>LN(int_data[[#This Row],[closes_alior]]/B723)</f>
        <v>2.2733023177385551E-3</v>
      </c>
      <c r="E724">
        <v>224.92</v>
      </c>
      <c r="F724" s="2">
        <f>(int_data[[#This Row],[closes_ing]]-E723)/E723</f>
        <v>-1.2859337283300448E-2</v>
      </c>
      <c r="G724" s="2">
        <f>LN(int_data[[#This Row],[closes_ing]]/E723)</f>
        <v>-1.2942734285890647E-2</v>
      </c>
    </row>
    <row r="725" spans="1:7" x14ac:dyDescent="0.2">
      <c r="A725" s="1">
        <v>45650</v>
      </c>
      <c r="B725">
        <v>79.137500000000003</v>
      </c>
      <c r="C725" s="2">
        <f>(int_data[[#This Row],[closes_alior]]-B724)/B724</f>
        <v>-1.6715024599469306E-3</v>
      </c>
      <c r="D725" s="2">
        <f>LN(int_data[[#This Row],[closes_alior]]/B724)</f>
        <v>-1.6729009788195245E-3</v>
      </c>
      <c r="E725">
        <v>224.80500000000001</v>
      </c>
      <c r="F725" s="2">
        <f>(int_data[[#This Row],[closes_ing]]-E724)/E724</f>
        <v>-5.1129290414360959E-4</v>
      </c>
      <c r="G725" s="2">
        <f>LN(int_data[[#This Row],[closes_ing]]/E724)</f>
        <v>-5.1142365893178891E-4</v>
      </c>
    </row>
    <row r="726" spans="1:7" x14ac:dyDescent="0.2">
      <c r="A726" s="1">
        <v>45651</v>
      </c>
      <c r="B726">
        <v>79.004999999999995</v>
      </c>
      <c r="C726" s="2">
        <f>(int_data[[#This Row],[closes_alior]]-B725)/B725</f>
        <v>-1.6743010582847245E-3</v>
      </c>
      <c r="D726" s="2">
        <f>LN(int_data[[#This Row],[closes_alior]]/B725)</f>
        <v>-1.6757042667826297E-3</v>
      </c>
      <c r="E726">
        <v>224.69</v>
      </c>
      <c r="F726" s="2">
        <f>(int_data[[#This Row],[closes_ing]]-E725)/E725</f>
        <v>-5.115544583083521E-4</v>
      </c>
      <c r="G726" s="2">
        <f>LN(int_data[[#This Row],[closes_ing]]/E725)</f>
        <v>-5.1168534692988825E-4</v>
      </c>
    </row>
    <row r="727" spans="1:7" x14ac:dyDescent="0.2">
      <c r="A727" s="1">
        <v>45652</v>
      </c>
      <c r="B727">
        <v>78.872500000000002</v>
      </c>
      <c r="C727" s="2">
        <f>(int_data[[#This Row],[closes_alior]]-B726)/B726</f>
        <v>-1.6771090437313232E-3</v>
      </c>
      <c r="D727" s="2">
        <f>LN(int_data[[#This Row],[closes_alior]]/B726)</f>
        <v>-1.6785169654826571E-3</v>
      </c>
      <c r="E727">
        <v>224.57499999999999</v>
      </c>
      <c r="F727" s="2">
        <f>(int_data[[#This Row],[closes_ing]]-E726)/E726</f>
        <v>-5.1181628020832747E-4</v>
      </c>
      <c r="G727" s="2">
        <f>LN(int_data[[#This Row],[closes_ing]]/E726)</f>
        <v>-5.1194730286895909E-4</v>
      </c>
    </row>
    <row r="728" spans="1:7" x14ac:dyDescent="0.2">
      <c r="A728" s="1">
        <v>45653</v>
      </c>
      <c r="B728">
        <v>78.739999999999995</v>
      </c>
      <c r="C728" s="2">
        <f>(int_data[[#This Row],[closes_alior]]-B727)/B727</f>
        <v>-1.6799264635964041E-3</v>
      </c>
      <c r="D728" s="2">
        <f>LN(int_data[[#This Row],[closes_alior]]/B727)</f>
        <v>-1.681339122388204E-3</v>
      </c>
      <c r="E728">
        <v>224.46</v>
      </c>
      <c r="F728" s="2">
        <f>(int_data[[#This Row],[closes_ing]]-E727)/E727</f>
        <v>-5.1207837025483993E-4</v>
      </c>
      <c r="G728" s="2">
        <f>LN(int_data[[#This Row],[closes_ing]]/E727)</f>
        <v>-5.1220952716042709E-4</v>
      </c>
    </row>
    <row r="729" spans="1:7" x14ac:dyDescent="0.2">
      <c r="A729" s="1">
        <v>45654</v>
      </c>
      <c r="B729">
        <v>78.536666666666704</v>
      </c>
      <c r="C729" s="2">
        <f>(int_data[[#This Row],[closes_alior]]-B728)/B728</f>
        <v>-2.5823384980097857E-3</v>
      </c>
      <c r="D729" s="2">
        <f>LN(int_data[[#This Row],[closes_alior]]/B728)</f>
        <v>-2.5856784852932068E-3</v>
      </c>
      <c r="E729">
        <v>224.15</v>
      </c>
      <c r="F729" s="2">
        <f>(int_data[[#This Row],[closes_ing]]-E728)/E728</f>
        <v>-1.3810923995366759E-3</v>
      </c>
      <c r="G729" s="2">
        <f>LN(int_data[[#This Row],[closes_ing]]/E728)</f>
        <v>-1.3820469866612614E-3</v>
      </c>
    </row>
    <row r="730" spans="1:7" x14ac:dyDescent="0.2">
      <c r="A730" s="1">
        <v>45655</v>
      </c>
      <c r="B730">
        <v>78.3333333333333</v>
      </c>
      <c r="C730" s="2">
        <f>(int_data[[#This Row],[closes_alior]]-B729)/B729</f>
        <v>-2.5890242349654612E-3</v>
      </c>
      <c r="D730" s="2">
        <f>LN(int_data[[#This Row],[closes_alior]]/B729)</f>
        <v>-2.5923815542493438E-3</v>
      </c>
      <c r="E730">
        <v>223.84</v>
      </c>
      <c r="F730" s="2">
        <f>(int_data[[#This Row],[closes_ing]]-E729)/E729</f>
        <v>-1.3830024537140409E-3</v>
      </c>
      <c r="G730" s="2">
        <f>LN(int_data[[#This Row],[closes_ing]]/E729)</f>
        <v>-1.3839596842774588E-3</v>
      </c>
    </row>
    <row r="731" spans="1:7" x14ac:dyDescent="0.2">
      <c r="A731" s="1">
        <v>45656</v>
      </c>
      <c r="B731">
        <v>78.13</v>
      </c>
      <c r="C731" s="2">
        <f>(int_data[[#This Row],[closes_alior]]-B730)/B730</f>
        <v>-2.5957446808506997E-3</v>
      </c>
      <c r="D731" s="2">
        <f>LN(int_data[[#This Row],[closes_alior]]/B730)</f>
        <v>-2.5991194673959223E-3</v>
      </c>
      <c r="E731">
        <v>223.53</v>
      </c>
      <c r="F731" s="2">
        <f>(int_data[[#This Row],[closes_ing]]-E730)/E730</f>
        <v>-1.3849177984274583E-3</v>
      </c>
      <c r="G731" s="2">
        <f>LN(int_data[[#This Row],[closes_ing]]/E730)</f>
        <v>-1.3858776834251897E-3</v>
      </c>
    </row>
    <row r="732" spans="1:7" x14ac:dyDescent="0.2">
      <c r="A732" s="1">
        <v>45657</v>
      </c>
      <c r="B732">
        <v>78.13</v>
      </c>
      <c r="C732" s="2">
        <f>(int_data[[#This Row],[closes_alior]]-B731)/B731</f>
        <v>0</v>
      </c>
      <c r="D732" s="2">
        <f>LN(int_data[[#This Row],[closes_alior]]/B731)</f>
        <v>0</v>
      </c>
      <c r="E732">
        <v>223.53</v>
      </c>
      <c r="F732" s="2">
        <f>(int_data[[#This Row],[closes_ing]]-E731)/E731</f>
        <v>0</v>
      </c>
      <c r="G732" s="2">
        <f>LN(int_data[[#This Row],[closes_ing]]/E731)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CDFB7-A48F-EE49-88F8-7F850BC5D8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2025-08-27T10:44:54Z</dcterms:created>
  <dcterms:modified xsi:type="dcterms:W3CDTF">2025-08-27T10:51:36Z</dcterms:modified>
</cp:coreProperties>
</file>